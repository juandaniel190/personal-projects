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4"/>
    <sheet state="visible" name="Part 1 - UK Performance" sheetId="2" r:id="rId5"/>
    <sheet state="visible" name="Part 2 - Channels" sheetId="3" r:id="rId6"/>
    <sheet state="visible" name="Part 3 - US Categories" sheetId="4" r:id="rId7"/>
    <sheet state="visible" name="Chart Data" sheetId="5" r:id="rId8"/>
  </sheets>
  <definedNames>
    <definedName hidden="1" localSheetId="0" name="_xlnm._FilterDatabase">Data!$A$1:$W$1294</definedName>
  </definedNames>
  <calcPr/>
  <extLst>
    <ext uri="GoogleSheetsCustomDataVersion2">
      <go:sheetsCustomData xmlns:go="http://customooxmlschemas.google.com/" r:id="rId9" roundtripDataChecksum="4d/v2tXH+mmV2FBTnabXhwgTH+EWzxIkScSsLWjy4wo="/>
    </ext>
  </extLst>
</workbook>
</file>

<file path=xl/sharedStrings.xml><?xml version="1.0" encoding="utf-8"?>
<sst xmlns="http://schemas.openxmlformats.org/spreadsheetml/2006/main" count="9389" uniqueCount="171">
  <si>
    <t>Year</t>
  </si>
  <si>
    <t>Month</t>
  </si>
  <si>
    <t>MonthNum</t>
  </si>
  <si>
    <t>YearMonth</t>
  </si>
  <si>
    <t>Half</t>
  </si>
  <si>
    <t>Country (view)</t>
  </si>
  <si>
    <t>Category (view)</t>
  </si>
  <si>
    <t>Category Industry (view)</t>
  </si>
  <si>
    <t>Channel</t>
  </si>
  <si>
    <t>Project Session Count, start</t>
  </si>
  <si>
    <t>Project Session Count, pass q1</t>
  </si>
  <si>
    <t>Project Count, submitted</t>
  </si>
  <si>
    <t>Project Count, released</t>
  </si>
  <si>
    <t>Released Project Count, has response</t>
  </si>
  <si>
    <t>Response Count</t>
  </si>
  <si>
    <t>Response Count, paid</t>
  </si>
  <si>
    <t>Response Count, Partner</t>
  </si>
  <si>
    <t>PPR Revenue £</t>
  </si>
  <si>
    <t>Marketing Spend £</t>
  </si>
  <si>
    <t xml:space="preserve">APR (Profit) £ </t>
  </si>
  <si>
    <t>Marketing Spend £, buyer</t>
  </si>
  <si>
    <t>Marketing Spend £, prospect</t>
  </si>
  <si>
    <t xml:space="preserve">APR (Profit) £, buyer </t>
  </si>
  <si>
    <t>August</t>
  </si>
  <si>
    <t>2024-08</t>
  </si>
  <si>
    <t>H2 2024</t>
  </si>
  <si>
    <t>United Kingdom</t>
  </si>
  <si>
    <t>Architectural Services</t>
  </si>
  <si>
    <t>Construction &amp; Trades</t>
  </si>
  <si>
    <t>Channel 1</t>
  </si>
  <si>
    <t>Channel 2</t>
  </si>
  <si>
    <t>Channel 3</t>
  </si>
  <si>
    <t>Gardening</t>
  </si>
  <si>
    <t>Pest Control</t>
  </si>
  <si>
    <t>Catering</t>
  </si>
  <si>
    <t>Events &amp; Creative</t>
  </si>
  <si>
    <t>DJ</t>
  </si>
  <si>
    <t>Motivational Speaking</t>
  </si>
  <si>
    <t>Wedding Photography</t>
  </si>
  <si>
    <t>Personal Trainers</t>
  </si>
  <si>
    <t>Health &amp; Wellbeing</t>
  </si>
  <si>
    <t>House Cleaning</t>
  </si>
  <si>
    <t>Home Services</t>
  </si>
  <si>
    <t>Security Guard Services</t>
  </si>
  <si>
    <t>Accounting</t>
  </si>
  <si>
    <t>Legal &amp; Business</t>
  </si>
  <si>
    <t>Web Design</t>
  </si>
  <si>
    <t>Marketing &amp; Technology</t>
  </si>
  <si>
    <t>United States</t>
  </si>
  <si>
    <t>December</t>
  </si>
  <si>
    <t>2024-12</t>
  </si>
  <si>
    <t>July</t>
  </si>
  <si>
    <t>2024-07</t>
  </si>
  <si>
    <t>November</t>
  </si>
  <si>
    <t>2024-11</t>
  </si>
  <si>
    <t>October</t>
  </si>
  <si>
    <t>2024-10</t>
  </si>
  <si>
    <t>September</t>
  </si>
  <si>
    <t>2024-09</t>
  </si>
  <si>
    <t>April</t>
  </si>
  <si>
    <t>2025-04</t>
  </si>
  <si>
    <t>H1 2025</t>
  </si>
  <si>
    <t>2025-08</t>
  </si>
  <si>
    <t>H2 2025</t>
  </si>
  <si>
    <t>2025-12</t>
  </si>
  <si>
    <t>February</t>
  </si>
  <si>
    <t>2025-02</t>
  </si>
  <si>
    <t>January</t>
  </si>
  <si>
    <t>2025-01</t>
  </si>
  <si>
    <t>2025-07</t>
  </si>
  <si>
    <t>June</t>
  </si>
  <si>
    <t>2025-06</t>
  </si>
  <si>
    <t>March</t>
  </si>
  <si>
    <t>2025-03</t>
  </si>
  <si>
    <t>May</t>
  </si>
  <si>
    <t>2025-05</t>
  </si>
  <si>
    <t>2025-11</t>
  </si>
  <si>
    <t>2025-10</t>
  </si>
  <si>
    <t>2025-09</t>
  </si>
  <si>
    <t>Part 1: UK Country Performance — Formula-Driven Pivot</t>
  </si>
  <si>
    <t>Metric</t>
  </si>
  <si>
    <t>Δ (Absolute)</t>
  </si>
  <si>
    <t>YoY %</t>
  </si>
  <si>
    <t>Sessions (Start)</t>
  </si>
  <si>
    <t>Sessions Pass Q1</t>
  </si>
  <si>
    <t>Submissions</t>
  </si>
  <si>
    <t>Released Projects</t>
  </si>
  <si>
    <t>Projects w/ Response</t>
  </si>
  <si>
    <t>Paid Responses</t>
  </si>
  <si>
    <t>PPR Revenue</t>
  </si>
  <si>
    <t>Marketing Spend</t>
  </si>
  <si>
    <t>APR (Profit)</t>
  </si>
  <si>
    <t>Q1 Pass Rate</t>
  </si>
  <si>
    <t>Submission Rate</t>
  </si>
  <si>
    <t>Release Rate</t>
  </si>
  <si>
    <t>Response Rate</t>
  </si>
  <si>
    <t>ROAS</t>
  </si>
  <si>
    <t>Profit Margin</t>
  </si>
  <si>
    <t>Rev per Released Project</t>
  </si>
  <si>
    <t>Rev per Paid Response</t>
  </si>
  <si>
    <t>UK Monthly Time Series (SUMIFS)</t>
  </si>
  <si>
    <t>Sessions</t>
  </si>
  <si>
    <t>Pass Q1</t>
  </si>
  <si>
    <t>Sub Rate</t>
  </si>
  <si>
    <t>Released</t>
  </si>
  <si>
    <t>Revenue</t>
  </si>
  <si>
    <t>Spend</t>
  </si>
  <si>
    <t>Profit</t>
  </si>
  <si>
    <t>Paid Resp</t>
  </si>
  <si>
    <t>ANALYSIS: Q1 Pass Rate collapsed -11.2pp (57.3%→46.2%), the single largest driver. Over half of H2 2025 visitors abandon before Q1. The Q1→Submit rate actually improved (51.1%→52.9%), confirming the break is at the top of the funnel. Rev/released project fell -6.8%. Paid responses declined -21.4%, steeper than submissions (-8.9%), indicating supply-side pullback.</t>
  </si>
  <si>
    <t>Part 2: UK Channel Deep-Dive — Formula-Driven Pivot</t>
  </si>
  <si>
    <t>Ch1 H2'24</t>
  </si>
  <si>
    <t>Ch1 H2'25</t>
  </si>
  <si>
    <t>Ch1 Δ%</t>
  </si>
  <si>
    <t>Ch2 H2'24</t>
  </si>
  <si>
    <t>Ch2 H2'25</t>
  </si>
  <si>
    <t>Ch2 Δ%</t>
  </si>
  <si>
    <t>Ch3 H2'24</t>
  </si>
  <si>
    <t>Ch3 H2'25</t>
  </si>
  <si>
    <t>Ch3 Δ%</t>
  </si>
  <si>
    <t>Channel 2 Monthly (UK) — SUMIFS</t>
  </si>
  <si>
    <t>ANALYSIS: Ch2 sessions +127.8% but sub rate collapsed 21.0%→14.2%. ROAS fell to 1.28 (breakeven). Ch2 Q1 pass rate fell 45.7%→30.3%, root cause of blended UK decline. Rev per paid response declined -5.9%, only channel to fall. Recommendation: cap Ch2 spend, reallocate to Ch1. Invest in Ch3 (SEO).</t>
  </si>
  <si>
    <t>Part 3: US Category Performance — Formula-Driven Pivot</t>
  </si>
  <si>
    <t>Category</t>
  </si>
  <si>
    <t>Rev H2'24</t>
  </si>
  <si>
    <t>Rev H2'25</t>
  </si>
  <si>
    <t>Rev Δ</t>
  </si>
  <si>
    <t>Rev Δ%</t>
  </si>
  <si>
    <t>Profit H2'24</t>
  </si>
  <si>
    <t>Profit H2'25</t>
  </si>
  <si>
    <t>Profit Δ%</t>
  </si>
  <si>
    <t>Sessions H2'24</t>
  </si>
  <si>
    <t>Sessions H2'25</t>
  </si>
  <si>
    <t>Sess Δ%</t>
  </si>
  <si>
    <t>Sub Rate H2'24</t>
  </si>
  <si>
    <t>Sub Rate H2'25</t>
  </si>
  <si>
    <t>TOTAL</t>
  </si>
  <si>
    <t>Web Design — Monthly (SUMIFS)</t>
  </si>
  <si>
    <t>Subs</t>
  </si>
  <si>
    <t>Rev/Project</t>
  </si>
  <si>
    <t>Resp Rate</t>
  </si>
  <si>
    <t>Motivational Speaking — Monthly (SUMIFS)</t>
  </si>
  <si>
    <t>ANALYSIS: Web Design lost £606K (-48.7%), 34.7% of total US decline. Seller disengagement: rev/project fell £57→£36, response rate 95%→78%. Structural commoditisation via AI/no-code. Motivational Speaking +113.1% revenue driven by monetisation (rev/project doubled £30→£55). Response rate rose 68%→83%. Spend grew only +30.2% vs revenue +113%.</t>
  </si>
  <si>
    <t>CHART DATA — Helper sheet (all SUMIFS formulas)</t>
  </si>
  <si>
    <t>UK Funnel Rates — Slope Data (Fig 2)</t>
  </si>
  <si>
    <t>Rate</t>
  </si>
  <si>
    <t>Slope (transposed)</t>
  </si>
  <si>
    <t>Period</t>
  </si>
  <si>
    <t>Channel Efficiency — Scatter Data (Fig 4)</t>
  </si>
  <si>
    <t>Channel-Period</t>
  </si>
  <si>
    <t>Channel 1 H2 2024</t>
  </si>
  <si>
    <t>Channel 1 H2 2025</t>
  </si>
  <si>
    <t>Channel 2 H2 2024</t>
  </si>
  <si>
    <t>Channel 2 H2 2025</t>
  </si>
  <si>
    <t>Channel 3 H2 2024</t>
  </si>
  <si>
    <t>Channel 3 H2 2025</t>
  </si>
  <si>
    <t>UK Revenue by Channel — Monthly (Fig 6)</t>
  </si>
  <si>
    <t>Web Design &amp; Mot. Speaking Monthly (Fig 8)</t>
  </si>
  <si>
    <t>WD Revenue</t>
  </si>
  <si>
    <t>WD Rev/Project</t>
  </si>
  <si>
    <t>MS Revenue</t>
  </si>
  <si>
    <t>MS Rev/Project</t>
  </si>
  <si>
    <t>UK H2 YoY Slope — Key Metrics (Fig 3)</t>
  </si>
  <si>
    <t>Indexed (H2 2024 = 100)</t>
  </si>
  <si>
    <t>All Channels Monthly Sub Rate (Fig 5 extended)</t>
  </si>
  <si>
    <t>Ch1 Sub Rate</t>
  </si>
  <si>
    <t>Ch2 Sub Rate</t>
  </si>
  <si>
    <t>Ch3 Sub Rate</t>
  </si>
  <si>
    <t>Ch1 Sessions</t>
  </si>
  <si>
    <t>Ch2 Sessions</t>
  </si>
  <si>
    <t>Ch3 Sessions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</si>
</sst>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\+0.0%;\-0.0%"/>
    <numFmt numFmtId="165" formatCode="\£#,##0"/>
    <numFmt numFmtId="166" formatCode="0.0%"/>
    <numFmt numFmtId="167" formatCode="\+0.0&quot;pp&quot;;\-0.0&quot;pp&quot;"/>
    <numFmt numFmtId="168" formatCode="0.00\x"/>
    <numFmt numFmtId="169" formatCode="\+0.00\x;\-0.00\x"/>
    <numFmt numFmtId="170" formatCode="\£#,##0.00"/>
  </numFmts>
  <fonts count="10">
    <font>
      <sz val="11.0"/>
      <color theme="1"/>
      <name val="Calibri"/>
      <scheme val="minor"/>
    </font>
    <font>
      <b/>
      <sz val="10.0"/>
      <color rgb="FFFFFFFF"/>
      <name val="Arial"/>
    </font>
    <font>
      <sz val="11.0"/>
      <color theme="1"/>
      <name val="Calibri"/>
    </font>
    <font>
      <b/>
      <sz val="16.0"/>
      <color rgb="FF1A2744"/>
      <name val="Arial"/>
    </font>
    <font>
      <sz val="10.0"/>
      <color rgb="FF333333"/>
      <name val="Arial"/>
    </font>
    <font>
      <b/>
      <sz val="10.0"/>
      <color rgb="FF26B3A8"/>
      <name val="Arial"/>
    </font>
    <font>
      <b/>
      <sz val="14.0"/>
      <color rgb="FF1A2744"/>
      <name val="Arial"/>
    </font>
    <font>
      <i/>
      <sz val="10.0"/>
      <color rgb="FF1A2744"/>
      <name val="Arial"/>
    </font>
    <font>
      <b/>
      <sz val="10.0"/>
      <color rgb="FF1A2744"/>
      <name val="Arial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A2744"/>
        <bgColor rgb="FF1A2744"/>
      </patternFill>
    </fill>
    <fill>
      <patternFill patternType="solid">
        <fgColor rgb="FFFFFFFF"/>
        <bgColor rgb="FFFFFFFF"/>
      </patternFill>
    </fill>
    <fill>
      <patternFill patternType="solid">
        <fgColor rgb="FFF5F3F0"/>
        <bgColor rgb="FFF5F3F0"/>
      </patternFill>
    </fill>
  </fills>
  <borders count="3">
    <border/>
    <border>
      <left/>
      <right/>
      <top/>
      <bottom/>
    </border>
    <border>
      <left/>
      <right/>
      <top/>
      <bottom style="thin">
        <color rgb="FFD0D0D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2" fillId="3" fontId="4" numFmtId="0" xfId="0" applyAlignment="1" applyBorder="1" applyFill="1" applyFont="1">
      <alignment horizontal="left" shrinkToFit="0" vertical="center" wrapText="0"/>
    </xf>
    <xf borderId="2" fillId="3" fontId="4" numFmtId="3" xfId="0" applyAlignment="1" applyBorder="1" applyFont="1" applyNumberFormat="1">
      <alignment horizontal="center" shrinkToFit="0" vertical="center" wrapText="0"/>
    </xf>
    <xf borderId="2" fillId="3" fontId="4" numFmtId="164" xfId="0" applyAlignment="1" applyBorder="1" applyFont="1" applyNumberFormat="1">
      <alignment horizontal="center" shrinkToFit="0" vertical="center" wrapText="0"/>
    </xf>
    <xf borderId="2" fillId="4" fontId="4" numFmtId="0" xfId="0" applyAlignment="1" applyBorder="1" applyFill="1" applyFont="1">
      <alignment horizontal="left" shrinkToFit="0" vertical="center" wrapText="0"/>
    </xf>
    <xf borderId="2" fillId="4" fontId="4" numFmtId="3" xfId="0" applyAlignment="1" applyBorder="1" applyFont="1" applyNumberFormat="1">
      <alignment horizontal="center" shrinkToFit="0" vertical="center" wrapText="0"/>
    </xf>
    <xf borderId="2" fillId="4" fontId="4" numFmtId="164" xfId="0" applyAlignment="1" applyBorder="1" applyFont="1" applyNumberFormat="1">
      <alignment horizontal="center" shrinkToFit="0" vertical="center" wrapText="0"/>
    </xf>
    <xf borderId="2" fillId="3" fontId="4" numFmtId="165" xfId="0" applyAlignment="1" applyBorder="1" applyFont="1" applyNumberFormat="1">
      <alignment horizontal="center" shrinkToFit="0" vertical="center" wrapText="0"/>
    </xf>
    <xf borderId="2" fillId="4" fontId="4" numFmtId="165" xfId="0" applyAlignment="1" applyBorder="1" applyFont="1" applyNumberFormat="1">
      <alignment horizontal="center" shrinkToFit="0" vertical="center" wrapText="0"/>
    </xf>
    <xf borderId="2" fillId="3" fontId="5" numFmtId="0" xfId="0" applyAlignment="1" applyBorder="1" applyFont="1">
      <alignment horizontal="left" shrinkToFit="0" vertical="center" wrapText="0"/>
    </xf>
    <xf borderId="2" fillId="3" fontId="4" numFmtId="166" xfId="0" applyAlignment="1" applyBorder="1" applyFont="1" applyNumberFormat="1">
      <alignment horizontal="center" shrinkToFit="0" vertical="center" wrapText="0"/>
    </xf>
    <xf borderId="2" fillId="3" fontId="4" numFmtId="167" xfId="0" applyAlignment="1" applyBorder="1" applyFont="1" applyNumberFormat="1">
      <alignment horizontal="center" shrinkToFit="0" vertical="center" wrapText="0"/>
    </xf>
    <xf borderId="2" fillId="4" fontId="5" numFmtId="0" xfId="0" applyAlignment="1" applyBorder="1" applyFont="1">
      <alignment horizontal="left" shrinkToFit="0" vertical="center" wrapText="0"/>
    </xf>
    <xf borderId="2" fillId="4" fontId="4" numFmtId="166" xfId="0" applyAlignment="1" applyBorder="1" applyFont="1" applyNumberFormat="1">
      <alignment horizontal="center" shrinkToFit="0" vertical="center" wrapText="0"/>
    </xf>
    <xf borderId="2" fillId="4" fontId="4" numFmtId="167" xfId="0" applyAlignment="1" applyBorder="1" applyFont="1" applyNumberFormat="1">
      <alignment horizontal="center" shrinkToFit="0" vertical="center" wrapText="0"/>
    </xf>
    <xf borderId="2" fillId="3" fontId="4" numFmtId="168" xfId="0" applyAlignment="1" applyBorder="1" applyFont="1" applyNumberFormat="1">
      <alignment horizontal="center" shrinkToFit="0" vertical="center" wrapText="0"/>
    </xf>
    <xf borderId="2" fillId="3" fontId="4" numFmtId="169" xfId="0" applyAlignment="1" applyBorder="1" applyFont="1" applyNumberFormat="1">
      <alignment horizontal="center" shrinkToFit="0" vertical="center" wrapText="0"/>
    </xf>
    <xf borderId="2" fillId="3" fontId="4" numFmtId="170" xfId="0" applyAlignment="1" applyBorder="1" applyFont="1" applyNumberFormat="1">
      <alignment horizontal="center" shrinkToFit="0" vertical="center" wrapText="0"/>
    </xf>
    <xf borderId="2" fillId="4" fontId="4" numFmtId="170" xfId="0" applyAlignment="1" applyBorder="1" applyFont="1" applyNumberFormat="1">
      <alignment horizontal="center" shrinkToFit="0" vertical="center" wrapText="0"/>
    </xf>
    <xf borderId="0" fillId="0" fontId="6" numFmtId="0" xfId="0" applyAlignment="1" applyFont="1">
      <alignment shrinkToFit="0" vertical="bottom" wrapText="0"/>
    </xf>
    <xf borderId="2" fillId="3" fontId="4" numFmtId="2" xfId="0" applyAlignment="1" applyBorder="1" applyFont="1" applyNumberFormat="1">
      <alignment horizontal="center" shrinkToFit="0" vertical="center" wrapText="0"/>
    </xf>
    <xf borderId="2" fillId="4" fontId="4" numFmtId="2" xfId="0" applyAlignment="1" applyBorder="1" applyFont="1" applyNumberFormat="1">
      <alignment horizontal="center" shrinkToFit="0" vertical="center" wrapText="0"/>
    </xf>
    <xf borderId="0" fillId="0" fontId="7" numFmtId="0" xfId="0" applyAlignment="1" applyFont="1">
      <alignment shrinkToFit="0" vertical="bottom" wrapText="1"/>
    </xf>
    <xf borderId="2" fillId="4" fontId="4" numFmtId="168" xfId="0" applyAlignment="1" applyBorder="1" applyFont="1" applyNumberFormat="1">
      <alignment horizontal="center" shrinkToFit="0" vertical="center" wrapText="0"/>
    </xf>
    <xf borderId="0" fillId="0" fontId="8" numFmtId="0" xfId="0" applyAlignment="1" applyFont="1">
      <alignment shrinkToFit="0" vertical="bottom" wrapText="0"/>
    </xf>
    <xf borderId="0" fillId="0" fontId="8" numFmtId="165" xfId="0" applyAlignment="1" applyFont="1" applyNumberFormat="1">
      <alignment shrinkToFit="0" vertical="bottom" wrapText="0"/>
    </xf>
    <xf borderId="0" fillId="0" fontId="8" numFmtId="164" xfId="0" applyAlignment="1" applyFont="1" applyNumberFormat="1">
      <alignment shrinkToFit="0" vertical="bottom" wrapText="0"/>
    </xf>
    <xf borderId="0" fillId="0" fontId="8" numFmtId="3" xfId="0" applyAlignment="1" applyFont="1" applyNumberFormat="1">
      <alignment shrinkToFit="0" vertical="bottom" wrapText="0"/>
    </xf>
    <xf borderId="0" fillId="0" fontId="9" numFmtId="0" xfId="0" applyFont="1"/>
    <xf borderId="0" fillId="0" fontId="2" numFmtId="166" xfId="0" applyAlignment="1" applyFont="1" applyNumberFormat="1">
      <alignment shrinkToFit="0" vertical="bottom" wrapText="0"/>
    </xf>
    <xf borderId="0" fillId="0" fontId="2" numFmtId="1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UK Monthly Revenue, Profit &amp; Spend</a:t>
            </a:r>
          </a:p>
        </c:rich>
      </c:tx>
      <c:overlay val="0"/>
    </c:title>
    <c:plotArea>
      <c:layout/>
      <c:lineChart>
        <c:ser>
          <c:idx val="0"/>
          <c:order val="0"/>
          <c:tx>
            <c:v>Revenue</c:v>
          </c:tx>
          <c:spPr>
            <a:ln cmpd="sng" w="38100">
              <a:solidFill>
                <a:srgbClr val="26B3A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'Part 1 - UK Performance'!$A$25:$A$42</c:f>
            </c:strRef>
          </c:cat>
          <c:val>
            <c:numRef>
              <c:f>'Part 1 - UK Performance'!$H$25:$H$42</c:f>
              <c:numCache/>
            </c:numRef>
          </c:val>
          <c:smooth val="1"/>
        </c:ser>
        <c:ser>
          <c:idx val="1"/>
          <c:order val="1"/>
          <c:tx>
            <c:v>Spend</c:v>
          </c:tx>
          <c:spPr>
            <a:ln cmpd="sng" w="38100">
              <a:solidFill>
                <a:srgbClr val="E8604C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'Part 1 - UK Performance'!$A$25:$A$42</c:f>
            </c:strRef>
          </c:cat>
          <c:val>
            <c:numRef>
              <c:f>'Part 1 - UK Performance'!$I$25:$I$42</c:f>
              <c:numCache/>
            </c:numRef>
          </c:val>
          <c:smooth val="1"/>
        </c:ser>
        <c:ser>
          <c:idx val="2"/>
          <c:order val="2"/>
          <c:tx>
            <c:v>Profit</c:v>
          </c:tx>
          <c:spPr>
            <a:ln cmpd="sng" w="38100">
              <a:solidFill>
                <a:srgbClr val="1A274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'Part 1 - UK Performance'!$A$25:$A$42</c:f>
            </c:strRef>
          </c:cat>
          <c:val>
            <c:numRef>
              <c:f>'Part 1 - UK Performance'!$J$25:$J$42</c:f>
              <c:numCache/>
            </c:numRef>
          </c:val>
          <c:smooth val="1"/>
        </c:ser>
        <c:axId val="1369215092"/>
        <c:axId val="631559118"/>
      </c:lineChart>
      <c:catAx>
        <c:axId val="13692150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31559118"/>
      </c:catAx>
      <c:valAx>
        <c:axId val="6315591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\£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369215092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UK Q1 Pass Rate &amp; Submission Rate</a:t>
            </a:r>
          </a:p>
        </c:rich>
      </c:tx>
      <c:overlay val="0"/>
    </c:title>
    <c:plotArea>
      <c:layout/>
      <c:lineChart>
        <c:ser>
          <c:idx val="0"/>
          <c:order val="0"/>
          <c:tx>
            <c:v>Q1 Pass Rate</c:v>
          </c:tx>
          <c:spPr>
            <a:ln cmpd="sng" w="38100">
              <a:solidFill>
                <a:srgbClr val="E8604C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'Part 1 - UK Performance'!$A$25:$A$42</c:f>
            </c:strRef>
          </c:cat>
          <c:val>
            <c:numRef>
              <c:f>'Part 1 - UK Performance'!$E$25:$E$42</c:f>
              <c:numCache/>
            </c:numRef>
          </c:val>
          <c:smooth val="1"/>
        </c:ser>
        <c:ser>
          <c:idx val="1"/>
          <c:order val="1"/>
          <c:tx>
            <c:v>Sub Rate</c:v>
          </c:tx>
          <c:spPr>
            <a:ln cmpd="sng" w="38100">
              <a:solidFill>
                <a:srgbClr val="1A274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'Part 1 - UK Performance'!$A$25:$A$42</c:f>
            </c:strRef>
          </c:cat>
          <c:val>
            <c:numRef>
              <c:f>'Part 1 - UK Performance'!$F$25:$F$42</c:f>
              <c:numCache/>
            </c:numRef>
          </c:val>
          <c:smooth val="1"/>
        </c:ser>
        <c:axId val="1401388991"/>
        <c:axId val="1302743943"/>
      </c:lineChart>
      <c:catAx>
        <c:axId val="1401388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302743943"/>
      </c:catAx>
      <c:valAx>
        <c:axId val="13027439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0138899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Fig 2. UK Funnel Rate Shifts — Slope (H2'24 → H2'25)</a:t>
            </a:r>
          </a:p>
        </c:rich>
      </c:tx>
      <c:overlay val="0"/>
    </c:title>
    <c:plotArea>
      <c:layout/>
      <c:lineChart>
        <c:ser>
          <c:idx val="0"/>
          <c:order val="0"/>
          <c:tx>
            <c:v>Q1 Pass Rate</c:v>
          </c:tx>
          <c:spPr>
            <a:ln cmpd="sng" w="19050">
              <a:solidFill>
                <a:srgbClr val="E8604C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'Chart Data'!$A$13:$A$14</c:f>
            </c:strRef>
          </c:cat>
          <c:val>
            <c:numRef>
              <c:f>'Chart Data'!$B$13:$B$14</c:f>
              <c:numCache/>
            </c:numRef>
          </c:val>
          <c:smooth val="1"/>
        </c:ser>
        <c:ser>
          <c:idx val="1"/>
          <c:order val="1"/>
          <c:tx>
            <c:v>Submission Rate</c:v>
          </c:tx>
          <c:spPr>
            <a:ln cmpd="sng" w="19050">
              <a:solidFill>
                <a:srgbClr val="1A274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'Chart Data'!$A$13:$A$14</c:f>
            </c:strRef>
          </c:cat>
          <c:val>
            <c:numRef>
              <c:f>'Chart Data'!$C$13:$C$14</c:f>
              <c:numCache/>
            </c:numRef>
          </c:val>
          <c:smooth val="1"/>
        </c:ser>
        <c:ser>
          <c:idx val="2"/>
          <c:order val="2"/>
          <c:tx>
            <c:v>Release Rate</c:v>
          </c:tx>
          <c:spPr>
            <a:ln cmpd="sng" w="19050">
              <a:solidFill>
                <a:srgbClr val="26B3A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'Chart Data'!$A$13:$A$14</c:f>
            </c:strRef>
          </c:cat>
          <c:val>
            <c:numRef>
              <c:f>'Chart Data'!$D$13:$D$14</c:f>
              <c:numCache/>
            </c:numRef>
          </c:val>
          <c:smooth val="1"/>
        </c:ser>
        <c:ser>
          <c:idx val="3"/>
          <c:order val="3"/>
          <c:tx>
            <c:v>Response Rate</c:v>
          </c:tx>
          <c:spPr>
            <a:ln cmpd="sng" w="19050">
              <a:solidFill>
                <a:srgbClr val="8E9AAF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'Chart Data'!$A$13:$A$14</c:f>
            </c:strRef>
          </c:cat>
          <c:val>
            <c:numRef>
              <c:f>'Chart Data'!$E$13:$E$14</c:f>
              <c:numCache/>
            </c:numRef>
          </c:val>
          <c:smooth val="1"/>
        </c:ser>
        <c:axId val="1899815160"/>
        <c:axId val="1017716571"/>
      </c:lineChart>
      <c:catAx>
        <c:axId val="1899815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017716571"/>
      </c:catAx>
      <c:valAx>
        <c:axId val="10177165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Rate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899815160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Fig 3. UK H2 YoY Slope — Key Metrics (Indexed, H2'24=100)</a:t>
            </a:r>
          </a:p>
        </c:rich>
      </c:tx>
      <c:overlay val="0"/>
    </c:title>
    <c:plotArea>
      <c:layout/>
      <c:lineChart>
        <c:ser>
          <c:idx val="0"/>
          <c:order val="0"/>
          <c:tx>
            <c:v>Sessions</c:v>
          </c:tx>
          <c:spPr>
            <a:ln cmpd="sng" w="19050">
              <a:solidFill>
                <a:srgbClr val="26B3A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'Chart Data'!$A$78:$A$79</c:f>
            </c:strRef>
          </c:cat>
          <c:val>
            <c:numRef>
              <c:f>'Chart Data'!$B$78:$B$79</c:f>
              <c:numCache/>
            </c:numRef>
          </c:val>
          <c:smooth val="1"/>
        </c:ser>
        <c:ser>
          <c:idx val="1"/>
          <c:order val="1"/>
          <c:tx>
            <c:v>Submissions</c:v>
          </c:tx>
          <c:spPr>
            <a:ln cmpd="sng" w="19050">
              <a:solidFill>
                <a:srgbClr val="1A274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'Chart Data'!$A$78:$A$79</c:f>
            </c:strRef>
          </c:cat>
          <c:val>
            <c:numRef>
              <c:f>'Chart Data'!$C$78:$C$79</c:f>
              <c:numCache/>
            </c:numRef>
          </c:val>
          <c:smooth val="1"/>
        </c:ser>
        <c:ser>
          <c:idx val="2"/>
          <c:order val="2"/>
          <c:tx>
            <c:v>Revenue</c:v>
          </c:tx>
          <c:spPr>
            <a:ln cmpd="sng" w="19050">
              <a:solidFill>
                <a:srgbClr val="26B3A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'Chart Data'!$A$78:$A$79</c:f>
            </c:strRef>
          </c:cat>
          <c:val>
            <c:numRef>
              <c:f>'Chart Data'!$D$78:$D$79</c:f>
              <c:numCache/>
            </c:numRef>
          </c:val>
          <c:smooth val="1"/>
        </c:ser>
        <c:ser>
          <c:idx val="3"/>
          <c:order val="3"/>
          <c:tx>
            <c:v>Spend</c:v>
          </c:tx>
          <c:spPr>
            <a:ln cmpd="sng" w="19050">
              <a:solidFill>
                <a:srgbClr val="E8604C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'Chart Data'!$A$78:$A$79</c:f>
            </c:strRef>
          </c:cat>
          <c:val>
            <c:numRef>
              <c:f>'Chart Data'!$E$78:$E$79</c:f>
              <c:numCache/>
            </c:numRef>
          </c:val>
          <c:smooth val="1"/>
        </c:ser>
        <c:ser>
          <c:idx val="4"/>
          <c:order val="4"/>
          <c:tx>
            <c:v>Profit</c:v>
          </c:tx>
          <c:spPr>
            <a:ln cmpd="sng" w="19050">
              <a:solidFill>
                <a:srgbClr val="1A274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'Chart Data'!$A$78:$A$79</c:f>
            </c:strRef>
          </c:cat>
          <c:val>
            <c:numRef>
              <c:f>'Chart Data'!$F$78:$F$79</c:f>
              <c:numCache/>
            </c:numRef>
          </c:val>
          <c:smooth val="1"/>
        </c:ser>
        <c:ser>
          <c:idx val="5"/>
          <c:order val="5"/>
          <c:tx>
            <c:v>Paid Responses</c:v>
          </c:tx>
          <c:spPr>
            <a:ln cmpd="sng" w="19050">
              <a:solidFill>
                <a:srgbClr val="8E9AAF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'Chart Data'!$A$78:$A$79</c:f>
            </c:strRef>
          </c:cat>
          <c:val>
            <c:numRef>
              <c:f>'Chart Data'!$G$78:$G$79</c:f>
              <c:numCache/>
            </c:numRef>
          </c:val>
          <c:smooth val="1"/>
        </c:ser>
        <c:axId val="748163101"/>
        <c:axId val="1403590234"/>
      </c:lineChart>
      <c:catAx>
        <c:axId val="7481631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03590234"/>
      </c:catAx>
      <c:valAx>
        <c:axId val="14035902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Index (H2 2024 = 100)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74816310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Channel 2: Sessions vs Submission Rate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Sessions</c:v>
          </c:tx>
          <c:spPr>
            <a:solidFill>
              <a:srgbClr val="B8E3DE"/>
            </a:solidFill>
            <a:ln cmpd="sng">
              <a:solidFill>
                <a:srgbClr val="000000"/>
              </a:solidFill>
            </a:ln>
          </c:spPr>
          <c:cat>
            <c:strRef>
              <c:f>'Part 2 - Channels'!$A$22:$A$39</c:f>
            </c:strRef>
          </c:cat>
          <c:val>
            <c:numRef>
              <c:f>'Part 2 - Channels'!$B$22:$B$39</c:f>
              <c:numCache/>
            </c:numRef>
          </c:val>
        </c:ser>
        <c:axId val="1961688303"/>
        <c:axId val="1404015207"/>
      </c:barChart>
      <c:lineChart>
        <c:varyColors val="0"/>
        <c:ser>
          <c:idx val="1"/>
          <c:order val="1"/>
          <c:tx>
            <c:v>Sub Rate</c:v>
          </c:tx>
          <c:spPr>
            <a:ln cmpd="sng" w="38100">
              <a:solidFill>
                <a:srgbClr val="E8604C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'Part 2 - Channels'!$A$22:$A$39</c:f>
            </c:strRef>
          </c:cat>
          <c:val>
            <c:numRef>
              <c:f>'Part 2 - Channels'!$D$22:$D$39</c:f>
              <c:numCache/>
            </c:numRef>
          </c:val>
          <c:smooth val="1"/>
        </c:ser>
        <c:axId val="1961688303"/>
        <c:axId val="1404015207"/>
      </c:lineChart>
      <c:catAx>
        <c:axId val="1961688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04015207"/>
      </c:catAx>
      <c:valAx>
        <c:axId val="14040152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6168830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Fig 4. Channel Efficiency: Sub Rate vs ROAS by Period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Sub Rate</c:v>
          </c:tx>
          <c:spPr>
            <a:solidFill>
              <a:srgbClr val="26B3A8"/>
            </a:solidFill>
            <a:ln cmpd="sng">
              <a:solidFill>
                <a:srgbClr val="000000"/>
              </a:solidFill>
            </a:ln>
          </c:spPr>
          <c:cat>
            <c:strRef>
              <c:f>'Chart Data'!$A$19:$A$24</c:f>
            </c:strRef>
          </c:cat>
          <c:val>
            <c:numRef>
              <c:f>'Chart Data'!$B$19:$B$24</c:f>
              <c:numCache/>
            </c:numRef>
          </c:val>
        </c:ser>
        <c:axId val="2107156425"/>
        <c:axId val="679869904"/>
      </c:barChart>
      <c:lineChart>
        <c:varyColors val="0"/>
        <c:ser>
          <c:idx val="1"/>
          <c:order val="1"/>
          <c:tx>
            <c:v>ROAS</c:v>
          </c:tx>
          <c:spPr>
            <a:ln cmpd="sng" w="19050">
              <a:solidFill>
                <a:srgbClr val="E8604C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'Chart Data'!$A$19:$A$24</c:f>
            </c:strRef>
          </c:cat>
          <c:val>
            <c:numRef>
              <c:f>'Chart Data'!$C$19:$C$24</c:f>
              <c:numCache/>
            </c:numRef>
          </c:val>
          <c:smooth val="1"/>
        </c:ser>
        <c:axId val="2107156425"/>
        <c:axId val="679869904"/>
      </c:lineChart>
      <c:catAx>
        <c:axId val="21071564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79869904"/>
      </c:catAx>
      <c:valAx>
        <c:axId val="6798699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10715642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Fig 5. Channel Submission Rates — Monthly Comparison</a:t>
            </a:r>
          </a:p>
        </c:rich>
      </c:tx>
      <c:overlay val="0"/>
    </c:title>
    <c:plotArea>
      <c:layout/>
      <c:lineChart>
        <c:ser>
          <c:idx val="0"/>
          <c:order val="0"/>
          <c:tx>
            <c:v>Ch1 Sub Rate</c:v>
          </c:tx>
          <c:spPr>
            <a:ln cmpd="sng" w="38100">
              <a:solidFill>
                <a:srgbClr val="26B3A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'Chart Data'!$A$84:$A$101</c:f>
            </c:strRef>
          </c:cat>
          <c:val>
            <c:numRef>
              <c:f>'Chart Data'!$B$84:$B$101</c:f>
              <c:numCache/>
            </c:numRef>
          </c:val>
          <c:smooth val="1"/>
        </c:ser>
        <c:ser>
          <c:idx val="1"/>
          <c:order val="1"/>
          <c:tx>
            <c:v>Ch2 Sub Rate</c:v>
          </c:tx>
          <c:spPr>
            <a:ln cmpd="sng" w="38100">
              <a:solidFill>
                <a:srgbClr val="E8604C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'Chart Data'!$A$84:$A$101</c:f>
            </c:strRef>
          </c:cat>
          <c:val>
            <c:numRef>
              <c:f>'Chart Data'!$C$84:$C$101</c:f>
              <c:numCache/>
            </c:numRef>
          </c:val>
          <c:smooth val="1"/>
        </c:ser>
        <c:ser>
          <c:idx val="2"/>
          <c:order val="2"/>
          <c:tx>
            <c:v>Ch3 Sub Rate</c:v>
          </c:tx>
          <c:spPr>
            <a:ln cmpd="sng" w="38100">
              <a:solidFill>
                <a:srgbClr val="1A274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'Chart Data'!$A$84:$A$101</c:f>
            </c:strRef>
          </c:cat>
          <c:val>
            <c:numRef>
              <c:f>'Chart Data'!$D$84:$D$101</c:f>
              <c:numCache/>
            </c:numRef>
          </c:val>
          <c:smooth val="1"/>
        </c:ser>
        <c:axId val="705880108"/>
        <c:axId val="1657923525"/>
      </c:lineChart>
      <c:catAx>
        <c:axId val="7058801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657923525"/>
      </c:catAx>
      <c:valAx>
        <c:axId val="16579235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Submission Rate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705880108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Fig 6. UK Revenue by Channel (Stacked)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v>Channel 1</c:v>
          </c:tx>
          <c:spPr>
            <a:solidFill>
              <a:srgbClr val="26B3A8"/>
            </a:solidFill>
            <a:ln cmpd="sng">
              <a:solidFill>
                <a:srgbClr val="000000"/>
              </a:solidFill>
            </a:ln>
          </c:spPr>
          <c:cat>
            <c:strRef>
              <c:f>'Chart Data'!$A$29:$A$46</c:f>
            </c:strRef>
          </c:cat>
          <c:val>
            <c:numRef>
              <c:f>'Chart Data'!$B$29:$B$46</c:f>
              <c:numCache/>
            </c:numRef>
          </c:val>
        </c:ser>
        <c:ser>
          <c:idx val="1"/>
          <c:order val="1"/>
          <c:tx>
            <c:v>Channel 2</c:v>
          </c:tx>
          <c:spPr>
            <a:solidFill>
              <a:srgbClr val="E8604C"/>
            </a:solidFill>
            <a:ln cmpd="sng">
              <a:solidFill>
                <a:srgbClr val="000000"/>
              </a:solidFill>
            </a:ln>
          </c:spPr>
          <c:cat>
            <c:strRef>
              <c:f>'Chart Data'!$A$29:$A$46</c:f>
            </c:strRef>
          </c:cat>
          <c:val>
            <c:numRef>
              <c:f>'Chart Data'!$C$29:$C$46</c:f>
              <c:numCache/>
            </c:numRef>
          </c:val>
        </c:ser>
        <c:ser>
          <c:idx val="2"/>
          <c:order val="2"/>
          <c:tx>
            <c:v>Channel 3</c:v>
          </c:tx>
          <c:spPr>
            <a:solidFill>
              <a:srgbClr val="1A2744"/>
            </a:solidFill>
            <a:ln cmpd="sng">
              <a:solidFill>
                <a:srgbClr val="000000"/>
              </a:solidFill>
            </a:ln>
          </c:spPr>
          <c:cat>
            <c:strRef>
              <c:f>'Chart Data'!$A$29:$A$46</c:f>
            </c:strRef>
          </c:cat>
          <c:val>
            <c:numRef>
              <c:f>'Chart Data'!$D$29:$D$46</c:f>
              <c:numCache/>
            </c:numRef>
          </c:val>
        </c:ser>
        <c:overlap val="100"/>
        <c:axId val="1766359023"/>
        <c:axId val="1494154114"/>
      </c:barChart>
      <c:catAx>
        <c:axId val="1766359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94154114"/>
      </c:catAx>
      <c:valAx>
        <c:axId val="14941541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\£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76635902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US Category Revenue Deltas (H2 YoY)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Rev Δ</c:v>
          </c:tx>
          <c:spPr>
            <a:solidFill>
              <a:srgbClr val="26B3A8"/>
            </a:solidFill>
            <a:ln cmpd="sng">
              <a:solidFill>
                <a:srgbClr val="000000"/>
              </a:solidFill>
            </a:ln>
          </c:spPr>
          <c:cat>
            <c:strRef>
              <c:f>'Part 3 - US Categories'!$A$4:$A$15</c:f>
            </c:strRef>
          </c:cat>
          <c:val>
            <c:numRef>
              <c:f>'Part 3 - US Categories'!$D$4:$D$15</c:f>
              <c:numCache/>
            </c:numRef>
          </c:val>
        </c:ser>
        <c:axId val="1972257232"/>
        <c:axId val="567593120"/>
      </c:barChart>
      <c:catAx>
        <c:axId val="19722572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567593120"/>
      </c:catAx>
      <c:valAx>
        <c:axId val="56759312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\£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72257232"/>
        <c:crosses val="max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Fig 8a. Web Design — Revenue &amp; Rev/Project (Decline)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WD Revenue</c:v>
          </c:tx>
          <c:spPr>
            <a:solidFill>
              <a:srgbClr val="E8604C"/>
            </a:solidFill>
            <a:ln cmpd="sng">
              <a:solidFill>
                <a:srgbClr val="000000"/>
              </a:solidFill>
            </a:ln>
          </c:spPr>
          <c:cat>
            <c:strRef>
              <c:f>'Chart Data'!$A$51:$A$68</c:f>
            </c:strRef>
          </c:cat>
          <c:val>
            <c:numRef>
              <c:f>'Chart Data'!$B$51:$B$68</c:f>
              <c:numCache/>
            </c:numRef>
          </c:val>
        </c:ser>
        <c:axId val="1852242898"/>
        <c:axId val="1392459860"/>
      </c:barChart>
      <c:lineChart>
        <c:varyColors val="0"/>
        <c:ser>
          <c:idx val="1"/>
          <c:order val="1"/>
          <c:tx>
            <c:v>WD Rev/Project</c:v>
          </c:tx>
          <c:spPr>
            <a:ln cmpd="sng" w="19050">
              <a:solidFill>
                <a:srgbClr val="1A2744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strRef>
              <c:f>'Chart Data'!$A$51:$A$68</c:f>
            </c:strRef>
          </c:cat>
          <c:val>
            <c:numRef>
              <c:f>'Chart Data'!$C$51:$C$68</c:f>
              <c:numCache/>
            </c:numRef>
          </c:val>
          <c:smooth val="1"/>
        </c:ser>
        <c:axId val="1852242898"/>
        <c:axId val="1392459860"/>
      </c:lineChart>
      <c:catAx>
        <c:axId val="18522428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392459860"/>
      </c:catAx>
      <c:valAx>
        <c:axId val="13924598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Revenue (£)</a:t>
                </a:r>
              </a:p>
            </c:rich>
          </c:tx>
          <c:overlay val="0"/>
        </c:title>
        <c:numFmt formatCode="\£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852242898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Fig 8b. Motivational Speaking — Revenue &amp; Rev/Project (Growth)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MS Revenue</c:v>
          </c:tx>
          <c:spPr>
            <a:solidFill>
              <a:srgbClr val="26B3A8"/>
            </a:solidFill>
            <a:ln cmpd="sng">
              <a:solidFill>
                <a:srgbClr val="000000"/>
              </a:solidFill>
            </a:ln>
          </c:spPr>
          <c:cat>
            <c:strRef>
              <c:f>'Chart Data'!$A$51:$A$68</c:f>
            </c:strRef>
          </c:cat>
          <c:val>
            <c:numRef>
              <c:f>'Chart Data'!$D$51:$D$68</c:f>
              <c:numCache/>
            </c:numRef>
          </c:val>
        </c:ser>
        <c:axId val="1731523885"/>
        <c:axId val="1205905885"/>
      </c:barChart>
      <c:lineChart>
        <c:varyColors val="0"/>
        <c:ser>
          <c:idx val="1"/>
          <c:order val="1"/>
          <c:tx>
            <c:v>MS Rev/Project</c:v>
          </c:tx>
          <c:spPr>
            <a:ln cmpd="sng" w="19050">
              <a:solidFill>
                <a:srgbClr val="1A2744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strRef>
              <c:f>'Chart Data'!$A$51:$A$68</c:f>
            </c:strRef>
          </c:cat>
          <c:val>
            <c:numRef>
              <c:f>'Chart Data'!$E$51:$E$68</c:f>
              <c:numCache/>
            </c:numRef>
          </c:val>
          <c:smooth val="1"/>
        </c:ser>
        <c:axId val="1731523885"/>
        <c:axId val="1205905885"/>
      </c:lineChart>
      <c:catAx>
        <c:axId val="17315238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205905885"/>
      </c:catAx>
      <c:valAx>
        <c:axId val="12059058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Revenue (£)</a:t>
                </a:r>
              </a:p>
            </c:rich>
          </c:tx>
          <c:overlay val="0"/>
        </c:title>
        <c:numFmt formatCode="\£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73152388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42</xdr:row>
      <xdr:rowOff>95250</xdr:rowOff>
    </xdr:from>
    <xdr:ext cx="9553575" cy="5286375"/>
    <xdr:graphicFrame>
      <xdr:nvGraphicFramePr>
        <xdr:cNvPr id="199247675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59</xdr:row>
      <xdr:rowOff>95250</xdr:rowOff>
    </xdr:from>
    <xdr:ext cx="9553575" cy="5276850"/>
    <xdr:graphicFrame>
      <xdr:nvGraphicFramePr>
        <xdr:cNvPr id="939498708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80</xdr:row>
      <xdr:rowOff>0</xdr:rowOff>
    </xdr:from>
    <xdr:ext cx="8172450" cy="5286375"/>
    <xdr:graphicFrame>
      <xdr:nvGraphicFramePr>
        <xdr:cNvPr id="112734389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0</xdr:colOff>
      <xdr:row>97</xdr:row>
      <xdr:rowOff>0</xdr:rowOff>
    </xdr:from>
    <xdr:ext cx="9553575" cy="5286375"/>
    <xdr:graphicFrame>
      <xdr:nvGraphicFramePr>
        <xdr:cNvPr id="1928673543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39</xdr:row>
      <xdr:rowOff>95250</xdr:rowOff>
    </xdr:from>
    <xdr:ext cx="9563100" cy="5276850"/>
    <xdr:graphicFrame>
      <xdr:nvGraphicFramePr>
        <xdr:cNvPr id="106974514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60</xdr:row>
      <xdr:rowOff>0</xdr:rowOff>
    </xdr:from>
    <xdr:ext cx="9563100" cy="5286375"/>
    <xdr:graphicFrame>
      <xdr:nvGraphicFramePr>
        <xdr:cNvPr id="380469005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5</xdr:col>
      <xdr:colOff>304800</xdr:colOff>
      <xdr:row>60</xdr:row>
      <xdr:rowOff>200025</xdr:rowOff>
    </xdr:from>
    <xdr:ext cx="9563100" cy="5286375"/>
    <xdr:graphicFrame>
      <xdr:nvGraphicFramePr>
        <xdr:cNvPr id="647373179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0</xdr:colOff>
      <xdr:row>94</xdr:row>
      <xdr:rowOff>0</xdr:rowOff>
    </xdr:from>
    <xdr:ext cx="9563100" cy="5286375"/>
    <xdr:graphicFrame>
      <xdr:nvGraphicFramePr>
        <xdr:cNvPr id="1638341685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17</xdr:row>
      <xdr:rowOff>123825</xdr:rowOff>
    </xdr:from>
    <xdr:ext cx="9582150" cy="5943600"/>
    <xdr:graphicFrame>
      <xdr:nvGraphicFramePr>
        <xdr:cNvPr id="538245994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83</xdr:row>
      <xdr:rowOff>0</xdr:rowOff>
    </xdr:from>
    <xdr:ext cx="9582150" cy="5286375"/>
    <xdr:graphicFrame>
      <xdr:nvGraphicFramePr>
        <xdr:cNvPr id="1966875454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100</xdr:row>
      <xdr:rowOff>0</xdr:rowOff>
    </xdr:from>
    <xdr:ext cx="9582150" cy="5286375"/>
    <xdr:graphicFrame>
      <xdr:nvGraphicFramePr>
        <xdr:cNvPr id="1770606016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A2744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3" width="8.71"/>
  </cols>
  <sheetData>
    <row r="1" ht="90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ht="15.0" customHeight="1">
      <c r="A2" s="2">
        <v>2024.0</v>
      </c>
      <c r="B2" s="2" t="s">
        <v>23</v>
      </c>
      <c r="C2" s="2">
        <v>8.0</v>
      </c>
      <c r="D2" s="2" t="s">
        <v>24</v>
      </c>
      <c r="E2" s="2" t="s">
        <v>25</v>
      </c>
      <c r="F2" s="2" t="s">
        <v>26</v>
      </c>
      <c r="G2" s="2" t="s">
        <v>27</v>
      </c>
      <c r="H2" s="2" t="s">
        <v>28</v>
      </c>
      <c r="I2" s="2" t="s">
        <v>29</v>
      </c>
      <c r="J2" s="2">
        <v>6758.0</v>
      </c>
      <c r="K2" s="2">
        <v>3750.0</v>
      </c>
      <c r="L2" s="2">
        <v>1092.0</v>
      </c>
      <c r="M2" s="2">
        <v>1064.0</v>
      </c>
      <c r="N2" s="2">
        <v>833.0</v>
      </c>
      <c r="O2" s="2">
        <v>1687.0</v>
      </c>
      <c r="P2" s="2">
        <v>1520.0</v>
      </c>
      <c r="Q2" s="2">
        <v>220.0</v>
      </c>
      <c r="R2" s="2">
        <v>28898.0</v>
      </c>
      <c r="S2" s="2">
        <v>19771.0</v>
      </c>
      <c r="T2" s="2">
        <v>9127.0</v>
      </c>
      <c r="U2" s="2">
        <v>18957.0</v>
      </c>
      <c r="V2" s="2">
        <v>814.0</v>
      </c>
      <c r="W2" s="2">
        <v>9941.0</v>
      </c>
    </row>
    <row r="3" ht="15.0" customHeight="1">
      <c r="A3" s="2">
        <v>2024.0</v>
      </c>
      <c r="B3" s="2" t="s">
        <v>23</v>
      </c>
      <c r="C3" s="2">
        <v>8.0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30</v>
      </c>
      <c r="J3" s="2">
        <v>1693.0</v>
      </c>
      <c r="K3" s="2">
        <v>680.0</v>
      </c>
      <c r="L3" s="2">
        <v>170.0</v>
      </c>
      <c r="M3" s="2">
        <v>166.0</v>
      </c>
      <c r="N3" s="2">
        <v>122.0</v>
      </c>
      <c r="O3" s="2">
        <v>244.0</v>
      </c>
      <c r="P3" s="2">
        <v>214.0</v>
      </c>
      <c r="Q3" s="2">
        <v>34.0</v>
      </c>
      <c r="R3" s="2">
        <v>4125.0</v>
      </c>
      <c r="S3" s="2">
        <v>1933.0</v>
      </c>
      <c r="T3" s="2">
        <v>2192.0</v>
      </c>
      <c r="U3" s="2">
        <v>1895.0</v>
      </c>
      <c r="V3" s="2">
        <v>38.0</v>
      </c>
      <c r="W3" s="2">
        <v>2230.0</v>
      </c>
    </row>
    <row r="4" ht="15.0" customHeight="1">
      <c r="A4" s="2">
        <v>2024.0</v>
      </c>
      <c r="B4" s="2" t="s">
        <v>23</v>
      </c>
      <c r="C4" s="2">
        <v>8.0</v>
      </c>
      <c r="D4" s="2" t="s">
        <v>24</v>
      </c>
      <c r="E4" s="2" t="s">
        <v>25</v>
      </c>
      <c r="F4" s="2" t="s">
        <v>26</v>
      </c>
      <c r="G4" s="2" t="s">
        <v>27</v>
      </c>
      <c r="H4" s="2" t="s">
        <v>28</v>
      </c>
      <c r="I4" s="2" t="s">
        <v>31</v>
      </c>
      <c r="J4" s="2">
        <v>490.0</v>
      </c>
      <c r="K4" s="2">
        <v>254.0</v>
      </c>
      <c r="L4" s="2">
        <v>152.0</v>
      </c>
      <c r="M4" s="2">
        <v>141.0</v>
      </c>
      <c r="N4" s="2">
        <v>113.0</v>
      </c>
      <c r="O4" s="2">
        <v>199.0</v>
      </c>
      <c r="P4" s="2">
        <v>186.0</v>
      </c>
      <c r="Q4" s="2">
        <v>27.0</v>
      </c>
      <c r="R4" s="2">
        <v>3675.0</v>
      </c>
      <c r="S4" s="2">
        <v>450.0</v>
      </c>
      <c r="T4" s="2">
        <v>3225.0</v>
      </c>
      <c r="U4" s="2">
        <v>450.0</v>
      </c>
      <c r="V4" s="2">
        <v>0.0</v>
      </c>
      <c r="W4" s="2">
        <v>3225.0</v>
      </c>
    </row>
    <row r="5" ht="15.0" customHeight="1">
      <c r="A5" s="2">
        <v>2024.0</v>
      </c>
      <c r="B5" s="2" t="s">
        <v>23</v>
      </c>
      <c r="C5" s="2">
        <v>8.0</v>
      </c>
      <c r="D5" s="2" t="s">
        <v>24</v>
      </c>
      <c r="E5" s="2" t="s">
        <v>25</v>
      </c>
      <c r="F5" s="2" t="s">
        <v>26</v>
      </c>
      <c r="G5" s="2" t="s">
        <v>32</v>
      </c>
      <c r="H5" s="2" t="s">
        <v>28</v>
      </c>
      <c r="I5" s="2" t="s">
        <v>29</v>
      </c>
      <c r="J5" s="2">
        <v>25164.0</v>
      </c>
      <c r="K5" s="2">
        <v>14673.0</v>
      </c>
      <c r="L5" s="2">
        <v>7108.0</v>
      </c>
      <c r="M5" s="2">
        <v>6815.0</v>
      </c>
      <c r="N5" s="2">
        <v>4753.0</v>
      </c>
      <c r="O5" s="2">
        <v>6135.0</v>
      </c>
      <c r="P5" s="2">
        <v>5448.0</v>
      </c>
      <c r="Q5" s="2">
        <v>0.0</v>
      </c>
      <c r="R5" s="2">
        <v>42935.0</v>
      </c>
      <c r="S5" s="2">
        <v>25370.0</v>
      </c>
      <c r="T5" s="2">
        <v>17565.0</v>
      </c>
      <c r="U5" s="2">
        <v>24371.0</v>
      </c>
      <c r="V5" s="2">
        <v>999.0</v>
      </c>
      <c r="W5" s="2">
        <v>18564.0</v>
      </c>
    </row>
    <row r="6" ht="15.0" customHeight="1">
      <c r="A6" s="2">
        <v>2024.0</v>
      </c>
      <c r="B6" s="2" t="s">
        <v>23</v>
      </c>
      <c r="C6" s="2">
        <v>8.0</v>
      </c>
      <c r="D6" s="2" t="s">
        <v>24</v>
      </c>
      <c r="E6" s="2" t="s">
        <v>25</v>
      </c>
      <c r="F6" s="2" t="s">
        <v>26</v>
      </c>
      <c r="G6" s="2" t="s">
        <v>32</v>
      </c>
      <c r="H6" s="2" t="s">
        <v>28</v>
      </c>
      <c r="I6" s="2" t="s">
        <v>30</v>
      </c>
      <c r="J6" s="2">
        <v>2250.0</v>
      </c>
      <c r="K6" s="2">
        <v>975.0</v>
      </c>
      <c r="L6" s="2">
        <v>408.0</v>
      </c>
      <c r="M6" s="2">
        <v>388.0</v>
      </c>
      <c r="N6" s="2">
        <v>274.0</v>
      </c>
      <c r="O6" s="2">
        <v>328.0</v>
      </c>
      <c r="P6" s="2">
        <v>288.0</v>
      </c>
      <c r="Q6" s="2">
        <v>0.0</v>
      </c>
      <c r="R6" s="2">
        <v>2178.0</v>
      </c>
      <c r="S6" s="2">
        <v>910.0</v>
      </c>
      <c r="T6" s="2">
        <v>1268.0</v>
      </c>
      <c r="U6" s="2">
        <v>862.0</v>
      </c>
      <c r="V6" s="2">
        <v>48.0</v>
      </c>
      <c r="W6" s="2">
        <v>1316.0</v>
      </c>
    </row>
    <row r="7" ht="15.0" customHeight="1">
      <c r="A7" s="2">
        <v>2024.0</v>
      </c>
      <c r="B7" s="2" t="s">
        <v>23</v>
      </c>
      <c r="C7" s="2">
        <v>8.0</v>
      </c>
      <c r="D7" s="2" t="s">
        <v>24</v>
      </c>
      <c r="E7" s="2" t="s">
        <v>25</v>
      </c>
      <c r="F7" s="2" t="s">
        <v>26</v>
      </c>
      <c r="G7" s="2" t="s">
        <v>32</v>
      </c>
      <c r="H7" s="2" t="s">
        <v>28</v>
      </c>
      <c r="I7" s="2" t="s">
        <v>31</v>
      </c>
      <c r="J7" s="2">
        <v>8329.0</v>
      </c>
      <c r="K7" s="2">
        <v>4752.0</v>
      </c>
      <c r="L7" s="2">
        <v>3433.0</v>
      </c>
      <c r="M7" s="2">
        <v>3223.0</v>
      </c>
      <c r="N7" s="2">
        <v>2139.0</v>
      </c>
      <c r="O7" s="2">
        <v>2731.0</v>
      </c>
      <c r="P7" s="2">
        <v>2438.0</v>
      </c>
      <c r="Q7" s="2">
        <v>0.0</v>
      </c>
      <c r="R7" s="2">
        <v>18566.0</v>
      </c>
      <c r="S7" s="2">
        <v>1179.0</v>
      </c>
      <c r="T7" s="2">
        <v>17387.0</v>
      </c>
      <c r="U7" s="2">
        <v>1179.0</v>
      </c>
      <c r="V7" s="2">
        <v>0.0</v>
      </c>
      <c r="W7" s="2">
        <v>17387.0</v>
      </c>
    </row>
    <row r="8" ht="15.0" customHeight="1">
      <c r="A8" s="2">
        <v>2024.0</v>
      </c>
      <c r="B8" s="2" t="s">
        <v>23</v>
      </c>
      <c r="C8" s="2">
        <v>8.0</v>
      </c>
      <c r="D8" s="2" t="s">
        <v>24</v>
      </c>
      <c r="E8" s="2" t="s">
        <v>25</v>
      </c>
      <c r="F8" s="2" t="s">
        <v>26</v>
      </c>
      <c r="G8" s="2" t="s">
        <v>33</v>
      </c>
      <c r="H8" s="2" t="s">
        <v>28</v>
      </c>
      <c r="I8" s="2" t="s">
        <v>29</v>
      </c>
      <c r="J8" s="2">
        <v>14700.0</v>
      </c>
      <c r="K8" s="2">
        <v>8989.0</v>
      </c>
      <c r="L8" s="2">
        <v>4388.0</v>
      </c>
      <c r="M8" s="2">
        <v>4229.0</v>
      </c>
      <c r="N8" s="2">
        <v>2164.0</v>
      </c>
      <c r="O8" s="2">
        <v>2604.0</v>
      </c>
      <c r="P8" s="2">
        <v>2335.0</v>
      </c>
      <c r="Q8" s="2">
        <v>712.0</v>
      </c>
      <c r="R8" s="2">
        <v>21915.0</v>
      </c>
      <c r="S8" s="2">
        <v>16142.0</v>
      </c>
      <c r="T8" s="2">
        <v>5773.0</v>
      </c>
      <c r="U8" s="2">
        <v>15952.0</v>
      </c>
      <c r="V8" s="2">
        <v>191.0</v>
      </c>
      <c r="W8" s="2">
        <v>5964.0</v>
      </c>
    </row>
    <row r="9" ht="15.0" customHeight="1">
      <c r="A9" s="2">
        <v>2024.0</v>
      </c>
      <c r="B9" s="2" t="s">
        <v>23</v>
      </c>
      <c r="C9" s="2">
        <v>8.0</v>
      </c>
      <c r="D9" s="2" t="s">
        <v>24</v>
      </c>
      <c r="E9" s="2" t="s">
        <v>25</v>
      </c>
      <c r="F9" s="2" t="s">
        <v>26</v>
      </c>
      <c r="G9" s="2" t="s">
        <v>33</v>
      </c>
      <c r="H9" s="2" t="s">
        <v>28</v>
      </c>
      <c r="I9" s="2" t="s">
        <v>30</v>
      </c>
      <c r="J9" s="2">
        <v>3449.0</v>
      </c>
      <c r="K9" s="2">
        <v>1945.0</v>
      </c>
      <c r="L9" s="2">
        <v>845.0</v>
      </c>
      <c r="M9" s="2">
        <v>799.0</v>
      </c>
      <c r="N9" s="2">
        <v>445.0</v>
      </c>
      <c r="O9" s="2">
        <v>513.0</v>
      </c>
      <c r="P9" s="2">
        <v>468.0</v>
      </c>
      <c r="Q9" s="2">
        <v>56.0</v>
      </c>
      <c r="R9" s="2">
        <v>3866.0</v>
      </c>
      <c r="S9" s="2">
        <v>1575.0</v>
      </c>
      <c r="T9" s="2">
        <v>2291.0</v>
      </c>
      <c r="U9" s="2">
        <v>1575.0</v>
      </c>
      <c r="V9" s="2">
        <v>0.0</v>
      </c>
      <c r="W9" s="2">
        <v>2291.0</v>
      </c>
    </row>
    <row r="10" ht="15.0" customHeight="1">
      <c r="A10" s="2">
        <v>2024.0</v>
      </c>
      <c r="B10" s="2" t="s">
        <v>23</v>
      </c>
      <c r="C10" s="2">
        <v>8.0</v>
      </c>
      <c r="D10" s="2" t="s">
        <v>24</v>
      </c>
      <c r="E10" s="2" t="s">
        <v>25</v>
      </c>
      <c r="F10" s="2" t="s">
        <v>26</v>
      </c>
      <c r="G10" s="2" t="s">
        <v>33</v>
      </c>
      <c r="H10" s="2" t="s">
        <v>28</v>
      </c>
      <c r="I10" s="2" t="s">
        <v>31</v>
      </c>
      <c r="J10" s="2">
        <v>407.0</v>
      </c>
      <c r="K10" s="2">
        <v>215.0</v>
      </c>
      <c r="L10" s="2">
        <v>230.0</v>
      </c>
      <c r="M10" s="2">
        <v>203.0</v>
      </c>
      <c r="N10" s="2">
        <v>94.0</v>
      </c>
      <c r="O10" s="2">
        <v>111.0</v>
      </c>
      <c r="P10" s="2">
        <v>102.0</v>
      </c>
      <c r="Q10" s="2">
        <v>22.0</v>
      </c>
      <c r="R10" s="2">
        <v>926.0</v>
      </c>
      <c r="S10" s="2">
        <v>100.0</v>
      </c>
      <c r="T10" s="2">
        <v>826.0</v>
      </c>
      <c r="U10" s="2">
        <v>100.0</v>
      </c>
      <c r="V10" s="2">
        <v>0.0</v>
      </c>
      <c r="W10" s="2">
        <v>826.0</v>
      </c>
    </row>
    <row r="11" ht="15.0" customHeight="1">
      <c r="A11" s="2">
        <v>2024.0</v>
      </c>
      <c r="B11" s="2" t="s">
        <v>23</v>
      </c>
      <c r="C11" s="2">
        <v>8.0</v>
      </c>
      <c r="D11" s="2" t="s">
        <v>24</v>
      </c>
      <c r="E11" s="2" t="s">
        <v>25</v>
      </c>
      <c r="F11" s="2" t="s">
        <v>26</v>
      </c>
      <c r="G11" s="2" t="s">
        <v>34</v>
      </c>
      <c r="H11" s="2" t="s">
        <v>35</v>
      </c>
      <c r="I11" s="2" t="s">
        <v>29</v>
      </c>
      <c r="J11" s="2">
        <v>11333.0</v>
      </c>
      <c r="K11" s="2">
        <v>7373.0</v>
      </c>
      <c r="L11" s="2">
        <v>3749.0</v>
      </c>
      <c r="M11" s="2">
        <v>3607.0</v>
      </c>
      <c r="N11" s="2">
        <v>1070.0</v>
      </c>
      <c r="O11" s="2">
        <v>1328.0</v>
      </c>
      <c r="P11" s="2">
        <v>1067.0</v>
      </c>
      <c r="Q11" s="2">
        <v>0.0</v>
      </c>
      <c r="R11" s="2">
        <v>14730.0</v>
      </c>
      <c r="S11" s="2">
        <v>9719.0</v>
      </c>
      <c r="T11" s="2">
        <v>5011.0</v>
      </c>
      <c r="U11" s="2">
        <v>8880.0</v>
      </c>
      <c r="V11" s="2">
        <v>839.0</v>
      </c>
      <c r="W11" s="2">
        <v>5851.0</v>
      </c>
    </row>
    <row r="12" ht="15.0" customHeight="1">
      <c r="A12" s="2">
        <v>2024.0</v>
      </c>
      <c r="B12" s="2" t="s">
        <v>23</v>
      </c>
      <c r="C12" s="2">
        <v>8.0</v>
      </c>
      <c r="D12" s="2" t="s">
        <v>24</v>
      </c>
      <c r="E12" s="2" t="s">
        <v>25</v>
      </c>
      <c r="F12" s="2" t="s">
        <v>26</v>
      </c>
      <c r="G12" s="2" t="s">
        <v>34</v>
      </c>
      <c r="H12" s="2" t="s">
        <v>35</v>
      </c>
      <c r="I12" s="2" t="s">
        <v>30</v>
      </c>
      <c r="J12" s="2">
        <v>2060.0</v>
      </c>
      <c r="K12" s="2">
        <v>1130.0</v>
      </c>
      <c r="L12" s="2">
        <v>515.0</v>
      </c>
      <c r="M12" s="2">
        <v>491.0</v>
      </c>
      <c r="N12" s="2">
        <v>170.0</v>
      </c>
      <c r="O12" s="2">
        <v>216.0</v>
      </c>
      <c r="P12" s="2">
        <v>184.0</v>
      </c>
      <c r="Q12" s="2">
        <v>0.0</v>
      </c>
      <c r="R12" s="2">
        <v>2669.0</v>
      </c>
      <c r="S12" s="2">
        <v>692.0</v>
      </c>
      <c r="T12" s="2">
        <v>1976.0</v>
      </c>
      <c r="U12" s="2">
        <v>692.0</v>
      </c>
      <c r="V12" s="2">
        <v>0.0</v>
      </c>
      <c r="W12" s="2">
        <v>1976.0</v>
      </c>
    </row>
    <row r="13" ht="15.0" customHeight="1">
      <c r="A13" s="2">
        <v>2024.0</v>
      </c>
      <c r="B13" s="2" t="s">
        <v>23</v>
      </c>
      <c r="C13" s="2">
        <v>8.0</v>
      </c>
      <c r="D13" s="2" t="s">
        <v>24</v>
      </c>
      <c r="E13" s="2" t="s">
        <v>25</v>
      </c>
      <c r="F13" s="2" t="s">
        <v>26</v>
      </c>
      <c r="G13" s="2" t="s">
        <v>34</v>
      </c>
      <c r="H13" s="2" t="s">
        <v>35</v>
      </c>
      <c r="I13" s="2" t="s">
        <v>31</v>
      </c>
      <c r="J13" s="2">
        <v>917.0</v>
      </c>
      <c r="K13" s="2">
        <v>590.0</v>
      </c>
      <c r="L13" s="2">
        <v>316.0</v>
      </c>
      <c r="M13" s="2">
        <v>279.0</v>
      </c>
      <c r="N13" s="2">
        <v>74.0</v>
      </c>
      <c r="O13" s="2">
        <v>95.0</v>
      </c>
      <c r="P13" s="2">
        <v>75.0</v>
      </c>
      <c r="Q13" s="2">
        <v>0.0</v>
      </c>
      <c r="R13" s="2">
        <v>1105.0</v>
      </c>
      <c r="S13" s="2">
        <v>15.0</v>
      </c>
      <c r="T13" s="2">
        <v>1090.0</v>
      </c>
      <c r="U13" s="2">
        <v>15.0</v>
      </c>
      <c r="V13" s="2">
        <v>0.0</v>
      </c>
      <c r="W13" s="2">
        <v>1090.0</v>
      </c>
    </row>
    <row r="14" ht="15.0" customHeight="1">
      <c r="A14" s="2">
        <v>2024.0</v>
      </c>
      <c r="B14" s="2" t="s">
        <v>23</v>
      </c>
      <c r="C14" s="2">
        <v>8.0</v>
      </c>
      <c r="D14" s="2" t="s">
        <v>24</v>
      </c>
      <c r="E14" s="2" t="s">
        <v>25</v>
      </c>
      <c r="F14" s="2" t="s">
        <v>26</v>
      </c>
      <c r="G14" s="2" t="s">
        <v>36</v>
      </c>
      <c r="H14" s="2" t="s">
        <v>35</v>
      </c>
      <c r="I14" s="2" t="s">
        <v>29</v>
      </c>
      <c r="J14" s="2">
        <v>6443.0</v>
      </c>
      <c r="K14" s="2">
        <v>4566.0</v>
      </c>
      <c r="L14" s="2">
        <v>2633.0</v>
      </c>
      <c r="M14" s="2">
        <v>2552.0</v>
      </c>
      <c r="N14" s="2">
        <v>1044.0</v>
      </c>
      <c r="O14" s="2">
        <v>1447.0</v>
      </c>
      <c r="P14" s="2">
        <v>1268.0</v>
      </c>
      <c r="Q14" s="2">
        <v>0.0</v>
      </c>
      <c r="R14" s="2">
        <v>12437.0</v>
      </c>
      <c r="S14" s="2">
        <v>5460.0</v>
      </c>
      <c r="T14" s="2">
        <v>6977.0</v>
      </c>
      <c r="U14" s="2">
        <v>5460.0</v>
      </c>
      <c r="V14" s="2">
        <v>0.0</v>
      </c>
      <c r="W14" s="2">
        <v>6977.0</v>
      </c>
    </row>
    <row r="15" ht="15.0" customHeight="1">
      <c r="A15" s="2">
        <v>2024.0</v>
      </c>
      <c r="B15" s="2" t="s">
        <v>23</v>
      </c>
      <c r="C15" s="2">
        <v>8.0</v>
      </c>
      <c r="D15" s="2" t="s">
        <v>24</v>
      </c>
      <c r="E15" s="2" t="s">
        <v>25</v>
      </c>
      <c r="F15" s="2" t="s">
        <v>26</v>
      </c>
      <c r="G15" s="2" t="s">
        <v>36</v>
      </c>
      <c r="H15" s="2" t="s">
        <v>35</v>
      </c>
      <c r="I15" s="2" t="s">
        <v>30</v>
      </c>
      <c r="J15" s="2">
        <v>483.0</v>
      </c>
      <c r="K15" s="2">
        <v>257.0</v>
      </c>
      <c r="L15" s="2">
        <v>142.0</v>
      </c>
      <c r="M15" s="2">
        <v>132.0</v>
      </c>
      <c r="N15" s="2">
        <v>59.0</v>
      </c>
      <c r="O15" s="2">
        <v>78.0</v>
      </c>
      <c r="P15" s="2">
        <v>68.0</v>
      </c>
      <c r="Q15" s="2">
        <v>0.0</v>
      </c>
      <c r="R15" s="2">
        <v>749.0</v>
      </c>
      <c r="S15" s="2">
        <v>199.0</v>
      </c>
      <c r="T15" s="2">
        <v>549.0</v>
      </c>
      <c r="U15" s="2">
        <v>199.0</v>
      </c>
      <c r="V15" s="2">
        <v>0.0</v>
      </c>
      <c r="W15" s="2">
        <v>549.0</v>
      </c>
    </row>
    <row r="16" ht="15.0" customHeight="1">
      <c r="A16" s="2">
        <v>2024.0</v>
      </c>
      <c r="B16" s="2" t="s">
        <v>23</v>
      </c>
      <c r="C16" s="2">
        <v>8.0</v>
      </c>
      <c r="D16" s="2" t="s">
        <v>24</v>
      </c>
      <c r="E16" s="2" t="s">
        <v>25</v>
      </c>
      <c r="F16" s="2" t="s">
        <v>26</v>
      </c>
      <c r="G16" s="2" t="s">
        <v>36</v>
      </c>
      <c r="H16" s="2" t="s">
        <v>35</v>
      </c>
      <c r="I16" s="2" t="s">
        <v>31</v>
      </c>
      <c r="J16" s="2">
        <v>578.0</v>
      </c>
      <c r="K16" s="2">
        <v>400.0</v>
      </c>
      <c r="L16" s="2">
        <v>234.0</v>
      </c>
      <c r="M16" s="2">
        <v>218.0</v>
      </c>
      <c r="N16" s="2">
        <v>76.0</v>
      </c>
      <c r="O16" s="2">
        <v>122.0</v>
      </c>
      <c r="P16" s="2">
        <v>113.0</v>
      </c>
      <c r="Q16" s="2">
        <v>0.0</v>
      </c>
      <c r="R16" s="2">
        <v>1159.0</v>
      </c>
      <c r="S16" s="2">
        <v>5.0</v>
      </c>
      <c r="T16" s="2">
        <v>1154.0</v>
      </c>
      <c r="U16" s="2">
        <v>5.0</v>
      </c>
      <c r="V16" s="2">
        <v>0.0</v>
      </c>
      <c r="W16" s="2">
        <v>1154.0</v>
      </c>
    </row>
    <row r="17" ht="15.0" customHeight="1">
      <c r="A17" s="2">
        <v>2024.0</v>
      </c>
      <c r="B17" s="2" t="s">
        <v>23</v>
      </c>
      <c r="C17" s="2">
        <v>8.0</v>
      </c>
      <c r="D17" s="2" t="s">
        <v>24</v>
      </c>
      <c r="E17" s="2" t="s">
        <v>25</v>
      </c>
      <c r="F17" s="2" t="s">
        <v>26</v>
      </c>
      <c r="G17" s="2" t="s">
        <v>37</v>
      </c>
      <c r="H17" s="2" t="s">
        <v>35</v>
      </c>
      <c r="I17" s="2" t="s">
        <v>29</v>
      </c>
      <c r="J17" s="2">
        <v>685.0</v>
      </c>
      <c r="K17" s="2">
        <v>383.0</v>
      </c>
      <c r="L17" s="2">
        <v>144.0</v>
      </c>
      <c r="M17" s="2">
        <v>137.0</v>
      </c>
      <c r="N17" s="2">
        <v>112.0</v>
      </c>
      <c r="O17" s="2">
        <v>355.0</v>
      </c>
      <c r="P17" s="2">
        <v>260.0</v>
      </c>
      <c r="Q17" s="2">
        <v>0.0</v>
      </c>
      <c r="R17" s="2">
        <v>6019.0</v>
      </c>
      <c r="S17" s="2">
        <v>2477.0</v>
      </c>
      <c r="T17" s="2">
        <v>3542.0</v>
      </c>
      <c r="U17" s="2">
        <v>2477.0</v>
      </c>
      <c r="V17" s="2">
        <v>0.0</v>
      </c>
      <c r="W17" s="2">
        <v>3542.0</v>
      </c>
    </row>
    <row r="18" ht="15.0" customHeight="1">
      <c r="A18" s="2">
        <v>2024.0</v>
      </c>
      <c r="B18" s="2" t="s">
        <v>23</v>
      </c>
      <c r="C18" s="2">
        <v>8.0</v>
      </c>
      <c r="D18" s="2" t="s">
        <v>24</v>
      </c>
      <c r="E18" s="2" t="s">
        <v>25</v>
      </c>
      <c r="F18" s="2" t="s">
        <v>26</v>
      </c>
      <c r="G18" s="2" t="s">
        <v>37</v>
      </c>
      <c r="H18" s="2" t="s">
        <v>35</v>
      </c>
      <c r="I18" s="2" t="s">
        <v>30</v>
      </c>
      <c r="J18" s="2">
        <v>0.0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0.0</v>
      </c>
      <c r="W18" s="2">
        <v>0.0</v>
      </c>
    </row>
    <row r="19" ht="15.0" customHeight="1">
      <c r="A19" s="2">
        <v>2024.0</v>
      </c>
      <c r="B19" s="2" t="s">
        <v>23</v>
      </c>
      <c r="C19" s="2">
        <v>8.0</v>
      </c>
      <c r="D19" s="2" t="s">
        <v>24</v>
      </c>
      <c r="E19" s="2" t="s">
        <v>25</v>
      </c>
      <c r="F19" s="2" t="s">
        <v>26</v>
      </c>
      <c r="G19" s="2" t="s">
        <v>37</v>
      </c>
      <c r="H19" s="2" t="s">
        <v>35</v>
      </c>
      <c r="I19" s="2" t="s">
        <v>31</v>
      </c>
      <c r="J19" s="2">
        <v>23.0</v>
      </c>
      <c r="K19" s="2">
        <v>15.0</v>
      </c>
      <c r="L19" s="2">
        <v>7.0</v>
      </c>
      <c r="M19" s="2">
        <v>7.0</v>
      </c>
      <c r="N19" s="2">
        <v>7.0</v>
      </c>
      <c r="O19" s="2">
        <v>25.0</v>
      </c>
      <c r="P19" s="2">
        <v>22.0</v>
      </c>
      <c r="Q19" s="2">
        <v>0.0</v>
      </c>
      <c r="R19" s="2">
        <v>532.0</v>
      </c>
      <c r="S19" s="2">
        <v>0.0</v>
      </c>
      <c r="T19" s="2">
        <v>532.0</v>
      </c>
      <c r="U19" s="2">
        <v>0.0</v>
      </c>
      <c r="V19" s="2">
        <v>0.0</v>
      </c>
      <c r="W19" s="2">
        <v>532.0</v>
      </c>
    </row>
    <row r="20" ht="15.0" customHeight="1">
      <c r="A20" s="2">
        <v>2024.0</v>
      </c>
      <c r="B20" s="2" t="s">
        <v>23</v>
      </c>
      <c r="C20" s="2">
        <v>8.0</v>
      </c>
      <c r="D20" s="2" t="s">
        <v>24</v>
      </c>
      <c r="E20" s="2" t="s">
        <v>25</v>
      </c>
      <c r="F20" s="2" t="s">
        <v>26</v>
      </c>
      <c r="G20" s="2" t="s">
        <v>38</v>
      </c>
      <c r="H20" s="2" t="s">
        <v>35</v>
      </c>
      <c r="I20" s="2" t="s">
        <v>29</v>
      </c>
      <c r="J20" s="2">
        <v>4330.0</v>
      </c>
      <c r="K20" s="2">
        <v>2411.0</v>
      </c>
      <c r="L20" s="2">
        <v>1305.0</v>
      </c>
      <c r="M20" s="2">
        <v>1257.0</v>
      </c>
      <c r="N20" s="2">
        <v>794.0</v>
      </c>
      <c r="O20" s="2">
        <v>1275.0</v>
      </c>
      <c r="P20" s="2">
        <v>1096.0</v>
      </c>
      <c r="Q20" s="2">
        <v>32.0</v>
      </c>
      <c r="R20" s="2">
        <v>15511.0</v>
      </c>
      <c r="S20" s="2">
        <v>7375.0</v>
      </c>
      <c r="T20" s="2">
        <v>8136.0</v>
      </c>
      <c r="U20" s="2">
        <v>7211.0</v>
      </c>
      <c r="V20" s="2">
        <v>164.0</v>
      </c>
      <c r="W20" s="2">
        <v>8300.0</v>
      </c>
    </row>
    <row r="21" ht="15.0" customHeight="1">
      <c r="A21" s="2">
        <v>2024.0</v>
      </c>
      <c r="B21" s="2" t="s">
        <v>23</v>
      </c>
      <c r="C21" s="2">
        <v>8.0</v>
      </c>
      <c r="D21" s="2" t="s">
        <v>24</v>
      </c>
      <c r="E21" s="2" t="s">
        <v>25</v>
      </c>
      <c r="F21" s="2" t="s">
        <v>26</v>
      </c>
      <c r="G21" s="2" t="s">
        <v>38</v>
      </c>
      <c r="H21" s="2" t="s">
        <v>35</v>
      </c>
      <c r="I21" s="2" t="s">
        <v>30</v>
      </c>
      <c r="J21" s="2">
        <v>3782.0</v>
      </c>
      <c r="K21" s="2">
        <v>1611.0</v>
      </c>
      <c r="L21" s="2">
        <v>958.0</v>
      </c>
      <c r="M21" s="2">
        <v>927.0</v>
      </c>
      <c r="N21" s="2">
        <v>537.0</v>
      </c>
      <c r="O21" s="2">
        <v>829.0</v>
      </c>
      <c r="P21" s="2">
        <v>709.0</v>
      </c>
      <c r="Q21" s="2">
        <v>27.0</v>
      </c>
      <c r="R21" s="2">
        <v>9805.0</v>
      </c>
      <c r="S21" s="2">
        <v>9110.0</v>
      </c>
      <c r="T21" s="2">
        <v>694.0</v>
      </c>
      <c r="U21" s="2">
        <v>9110.0</v>
      </c>
      <c r="V21" s="2">
        <v>0.0</v>
      </c>
      <c r="W21" s="2">
        <v>694.0</v>
      </c>
    </row>
    <row r="22" ht="15.0" customHeight="1">
      <c r="A22" s="2">
        <v>2024.0</v>
      </c>
      <c r="B22" s="2" t="s">
        <v>23</v>
      </c>
      <c r="C22" s="2">
        <v>8.0</v>
      </c>
      <c r="D22" s="2" t="s">
        <v>24</v>
      </c>
      <c r="E22" s="2" t="s">
        <v>25</v>
      </c>
      <c r="F22" s="2" t="s">
        <v>26</v>
      </c>
      <c r="G22" s="2" t="s">
        <v>38</v>
      </c>
      <c r="H22" s="2" t="s">
        <v>35</v>
      </c>
      <c r="I22" s="2" t="s">
        <v>31</v>
      </c>
      <c r="J22" s="2">
        <v>636.0</v>
      </c>
      <c r="K22" s="2">
        <v>360.0</v>
      </c>
      <c r="L22" s="2">
        <v>224.0</v>
      </c>
      <c r="M22" s="2">
        <v>195.0</v>
      </c>
      <c r="N22" s="2">
        <v>128.0</v>
      </c>
      <c r="O22" s="2">
        <v>219.0</v>
      </c>
      <c r="P22" s="2">
        <v>186.0</v>
      </c>
      <c r="Q22" s="2">
        <v>2.0</v>
      </c>
      <c r="R22" s="2">
        <v>2644.0</v>
      </c>
      <c r="S22" s="2">
        <v>0.0</v>
      </c>
      <c r="T22" s="2">
        <v>2644.0</v>
      </c>
      <c r="U22" s="2">
        <v>0.0</v>
      </c>
      <c r="V22" s="2">
        <v>0.0</v>
      </c>
      <c r="W22" s="2">
        <v>2644.0</v>
      </c>
    </row>
    <row r="23" ht="15.0" customHeight="1">
      <c r="A23" s="2">
        <v>2024.0</v>
      </c>
      <c r="B23" s="2" t="s">
        <v>23</v>
      </c>
      <c r="C23" s="2">
        <v>8.0</v>
      </c>
      <c r="D23" s="2" t="s">
        <v>24</v>
      </c>
      <c r="E23" s="2" t="s">
        <v>25</v>
      </c>
      <c r="F23" s="2" t="s">
        <v>26</v>
      </c>
      <c r="G23" s="2" t="s">
        <v>39</v>
      </c>
      <c r="H23" s="2" t="s">
        <v>40</v>
      </c>
      <c r="I23" s="2" t="s">
        <v>29</v>
      </c>
      <c r="J23" s="2">
        <v>12053.0</v>
      </c>
      <c r="K23" s="2">
        <v>7974.0</v>
      </c>
      <c r="L23" s="2">
        <v>4399.0</v>
      </c>
      <c r="M23" s="2">
        <v>4190.0</v>
      </c>
      <c r="N23" s="2">
        <v>1449.0</v>
      </c>
      <c r="O23" s="2">
        <v>1750.0</v>
      </c>
      <c r="P23" s="2">
        <v>1549.0</v>
      </c>
      <c r="Q23" s="2">
        <v>0.0</v>
      </c>
      <c r="R23" s="2">
        <v>20893.0</v>
      </c>
      <c r="S23" s="2">
        <v>11857.0</v>
      </c>
      <c r="T23" s="2">
        <v>9036.0</v>
      </c>
      <c r="U23" s="2">
        <v>11857.0</v>
      </c>
      <c r="V23" s="2">
        <v>0.0</v>
      </c>
      <c r="W23" s="2">
        <v>9036.0</v>
      </c>
    </row>
    <row r="24" ht="15.0" customHeight="1">
      <c r="A24" s="2">
        <v>2024.0</v>
      </c>
      <c r="B24" s="2" t="s">
        <v>23</v>
      </c>
      <c r="C24" s="2">
        <v>8.0</v>
      </c>
      <c r="D24" s="2" t="s">
        <v>24</v>
      </c>
      <c r="E24" s="2" t="s">
        <v>25</v>
      </c>
      <c r="F24" s="2" t="s">
        <v>26</v>
      </c>
      <c r="G24" s="2" t="s">
        <v>39</v>
      </c>
      <c r="H24" s="2" t="s">
        <v>40</v>
      </c>
      <c r="I24" s="2" t="s">
        <v>30</v>
      </c>
      <c r="J24" s="2">
        <v>1891.0</v>
      </c>
      <c r="K24" s="2">
        <v>920.0</v>
      </c>
      <c r="L24" s="2">
        <v>395.0</v>
      </c>
      <c r="M24" s="2">
        <v>376.0</v>
      </c>
      <c r="N24" s="2">
        <v>132.0</v>
      </c>
      <c r="O24" s="2">
        <v>169.0</v>
      </c>
      <c r="P24" s="2">
        <v>154.0</v>
      </c>
      <c r="Q24" s="2">
        <v>0.0</v>
      </c>
      <c r="R24" s="2">
        <v>2023.0</v>
      </c>
      <c r="S24" s="2">
        <v>1760.0</v>
      </c>
      <c r="T24" s="2">
        <v>264.0</v>
      </c>
      <c r="U24" s="2">
        <v>1737.0</v>
      </c>
      <c r="V24" s="2">
        <v>23.0</v>
      </c>
      <c r="W24" s="2">
        <v>287.0</v>
      </c>
    </row>
    <row r="25" ht="15.0" customHeight="1">
      <c r="A25" s="2">
        <v>2024.0</v>
      </c>
      <c r="B25" s="2" t="s">
        <v>23</v>
      </c>
      <c r="C25" s="2">
        <v>8.0</v>
      </c>
      <c r="D25" s="2" t="s">
        <v>24</v>
      </c>
      <c r="E25" s="2" t="s">
        <v>25</v>
      </c>
      <c r="F25" s="2" t="s">
        <v>26</v>
      </c>
      <c r="G25" s="2" t="s">
        <v>39</v>
      </c>
      <c r="H25" s="2" t="s">
        <v>40</v>
      </c>
      <c r="I25" s="2" t="s">
        <v>31</v>
      </c>
      <c r="J25" s="2">
        <v>3275.0</v>
      </c>
      <c r="K25" s="2">
        <v>2176.0</v>
      </c>
      <c r="L25" s="2">
        <v>1105.0</v>
      </c>
      <c r="M25" s="2">
        <v>971.0</v>
      </c>
      <c r="N25" s="2">
        <v>339.0</v>
      </c>
      <c r="O25" s="2">
        <v>413.0</v>
      </c>
      <c r="P25" s="2">
        <v>370.0</v>
      </c>
      <c r="Q25" s="2">
        <v>0.0</v>
      </c>
      <c r="R25" s="2">
        <v>4868.0</v>
      </c>
      <c r="S25" s="2">
        <v>0.0</v>
      </c>
      <c r="T25" s="2">
        <v>4868.0</v>
      </c>
      <c r="U25" s="2">
        <v>0.0</v>
      </c>
      <c r="V25" s="2">
        <v>0.0</v>
      </c>
      <c r="W25" s="2">
        <v>4868.0</v>
      </c>
    </row>
    <row r="26" ht="15.0" customHeight="1">
      <c r="A26" s="2">
        <v>2024.0</v>
      </c>
      <c r="B26" s="2" t="s">
        <v>23</v>
      </c>
      <c r="C26" s="2">
        <v>8.0</v>
      </c>
      <c r="D26" s="2" t="s">
        <v>24</v>
      </c>
      <c r="E26" s="2" t="s">
        <v>25</v>
      </c>
      <c r="F26" s="2" t="s">
        <v>26</v>
      </c>
      <c r="G26" s="2" t="s">
        <v>41</v>
      </c>
      <c r="H26" s="2" t="s">
        <v>42</v>
      </c>
      <c r="I26" s="2" t="s">
        <v>29</v>
      </c>
      <c r="J26" s="2">
        <v>32718.0</v>
      </c>
      <c r="K26" s="2">
        <v>19794.0</v>
      </c>
      <c r="L26" s="2">
        <v>9864.0</v>
      </c>
      <c r="M26" s="2">
        <v>9370.0</v>
      </c>
      <c r="N26" s="2">
        <v>4378.0</v>
      </c>
      <c r="O26" s="2">
        <v>5289.0</v>
      </c>
      <c r="P26" s="2">
        <v>4766.0</v>
      </c>
      <c r="Q26" s="2">
        <v>0.0</v>
      </c>
      <c r="R26" s="2">
        <v>36521.0</v>
      </c>
      <c r="S26" s="2">
        <v>27170.0</v>
      </c>
      <c r="T26" s="2">
        <v>9351.0</v>
      </c>
      <c r="U26" s="2">
        <v>25023.0</v>
      </c>
      <c r="V26" s="2">
        <v>2148.0</v>
      </c>
      <c r="W26" s="2">
        <v>11498.0</v>
      </c>
    </row>
    <row r="27" ht="15.0" customHeight="1">
      <c r="A27" s="2">
        <v>2024.0</v>
      </c>
      <c r="B27" s="2" t="s">
        <v>23</v>
      </c>
      <c r="C27" s="2">
        <v>8.0</v>
      </c>
      <c r="D27" s="2" t="s">
        <v>24</v>
      </c>
      <c r="E27" s="2" t="s">
        <v>25</v>
      </c>
      <c r="F27" s="2" t="s">
        <v>26</v>
      </c>
      <c r="G27" s="2" t="s">
        <v>41</v>
      </c>
      <c r="H27" s="2" t="s">
        <v>42</v>
      </c>
      <c r="I27" s="2" t="s">
        <v>30</v>
      </c>
      <c r="J27" s="2">
        <v>9043.0</v>
      </c>
      <c r="K27" s="2">
        <v>4577.0</v>
      </c>
      <c r="L27" s="2">
        <v>2406.0</v>
      </c>
      <c r="M27" s="2">
        <v>2304.0</v>
      </c>
      <c r="N27" s="2">
        <v>986.0</v>
      </c>
      <c r="O27" s="2">
        <v>1169.0</v>
      </c>
      <c r="P27" s="2">
        <v>1044.0</v>
      </c>
      <c r="Q27" s="2">
        <v>0.0</v>
      </c>
      <c r="R27" s="2">
        <v>7695.0</v>
      </c>
      <c r="S27" s="2">
        <v>6047.0</v>
      </c>
      <c r="T27" s="2">
        <v>1649.0</v>
      </c>
      <c r="U27" s="2">
        <v>6007.0</v>
      </c>
      <c r="V27" s="2">
        <v>40.0</v>
      </c>
      <c r="W27" s="2">
        <v>1689.0</v>
      </c>
    </row>
    <row r="28" ht="15.0" customHeight="1">
      <c r="A28" s="2">
        <v>2024.0</v>
      </c>
      <c r="B28" s="2" t="s">
        <v>23</v>
      </c>
      <c r="C28" s="2">
        <v>8.0</v>
      </c>
      <c r="D28" s="2" t="s">
        <v>24</v>
      </c>
      <c r="E28" s="2" t="s">
        <v>25</v>
      </c>
      <c r="F28" s="2" t="s">
        <v>26</v>
      </c>
      <c r="G28" s="2" t="s">
        <v>41</v>
      </c>
      <c r="H28" s="2" t="s">
        <v>42</v>
      </c>
      <c r="I28" s="2" t="s">
        <v>31</v>
      </c>
      <c r="J28" s="2">
        <v>13222.0</v>
      </c>
      <c r="K28" s="2">
        <v>8499.0</v>
      </c>
      <c r="L28" s="2">
        <v>6440.0</v>
      </c>
      <c r="M28" s="2">
        <v>5776.0</v>
      </c>
      <c r="N28" s="2">
        <v>2482.0</v>
      </c>
      <c r="O28" s="2">
        <v>2958.0</v>
      </c>
      <c r="P28" s="2">
        <v>2638.0</v>
      </c>
      <c r="Q28" s="2">
        <v>0.0</v>
      </c>
      <c r="R28" s="2">
        <v>20603.0</v>
      </c>
      <c r="S28" s="2">
        <v>304.0</v>
      </c>
      <c r="T28" s="2">
        <v>20299.0</v>
      </c>
      <c r="U28" s="2">
        <v>304.0</v>
      </c>
      <c r="V28" s="2">
        <v>0.0</v>
      </c>
      <c r="W28" s="2">
        <v>20299.0</v>
      </c>
    </row>
    <row r="29" ht="15.0" customHeight="1">
      <c r="A29" s="2">
        <v>2024.0</v>
      </c>
      <c r="B29" s="2" t="s">
        <v>23</v>
      </c>
      <c r="C29" s="2">
        <v>8.0</v>
      </c>
      <c r="D29" s="2" t="s">
        <v>24</v>
      </c>
      <c r="E29" s="2" t="s">
        <v>25</v>
      </c>
      <c r="F29" s="2" t="s">
        <v>26</v>
      </c>
      <c r="G29" s="2" t="s">
        <v>43</v>
      </c>
      <c r="H29" s="2" t="s">
        <v>42</v>
      </c>
      <c r="I29" s="2" t="s">
        <v>29</v>
      </c>
      <c r="J29" s="2">
        <v>3759.0</v>
      </c>
      <c r="K29" s="2">
        <v>1851.0</v>
      </c>
      <c r="L29" s="2">
        <v>973.0</v>
      </c>
      <c r="M29" s="2">
        <v>911.0</v>
      </c>
      <c r="N29" s="2">
        <v>322.0</v>
      </c>
      <c r="O29" s="2">
        <v>735.0</v>
      </c>
      <c r="P29" s="2">
        <v>598.0</v>
      </c>
      <c r="Q29" s="2">
        <v>2.0</v>
      </c>
      <c r="R29" s="2">
        <v>18415.0</v>
      </c>
      <c r="S29" s="2">
        <v>9324.0</v>
      </c>
      <c r="T29" s="2">
        <v>9091.0</v>
      </c>
      <c r="U29" s="2">
        <v>8452.0</v>
      </c>
      <c r="V29" s="2">
        <v>872.0</v>
      </c>
      <c r="W29" s="2">
        <v>9963.0</v>
      </c>
    </row>
    <row r="30" ht="15.0" customHeight="1">
      <c r="A30" s="2">
        <v>2024.0</v>
      </c>
      <c r="B30" s="2" t="s">
        <v>23</v>
      </c>
      <c r="C30" s="2">
        <v>8.0</v>
      </c>
      <c r="D30" s="2" t="s">
        <v>24</v>
      </c>
      <c r="E30" s="2" t="s">
        <v>25</v>
      </c>
      <c r="F30" s="2" t="s">
        <v>26</v>
      </c>
      <c r="G30" s="2" t="s">
        <v>43</v>
      </c>
      <c r="H30" s="2" t="s">
        <v>42</v>
      </c>
      <c r="I30" s="2" t="s">
        <v>30</v>
      </c>
      <c r="J30" s="2">
        <v>1095.0</v>
      </c>
      <c r="K30" s="2">
        <v>292.0</v>
      </c>
      <c r="L30" s="2">
        <v>110.0</v>
      </c>
      <c r="M30" s="2">
        <v>103.0</v>
      </c>
      <c r="N30" s="2">
        <v>41.0</v>
      </c>
      <c r="O30" s="2">
        <v>125.0</v>
      </c>
      <c r="P30" s="2">
        <v>101.0</v>
      </c>
      <c r="Q30" s="2">
        <v>0.0</v>
      </c>
      <c r="R30" s="2">
        <v>3223.0</v>
      </c>
      <c r="S30" s="2">
        <v>2538.0</v>
      </c>
      <c r="T30" s="2">
        <v>685.0</v>
      </c>
      <c r="U30" s="2">
        <v>2538.0</v>
      </c>
      <c r="V30" s="2">
        <v>0.0</v>
      </c>
      <c r="W30" s="2">
        <v>685.0</v>
      </c>
    </row>
    <row r="31" ht="15.0" customHeight="1">
      <c r="A31" s="2">
        <v>2024.0</v>
      </c>
      <c r="B31" s="2" t="s">
        <v>23</v>
      </c>
      <c r="C31" s="2">
        <v>8.0</v>
      </c>
      <c r="D31" s="2" t="s">
        <v>24</v>
      </c>
      <c r="E31" s="2" t="s">
        <v>25</v>
      </c>
      <c r="F31" s="2" t="s">
        <v>26</v>
      </c>
      <c r="G31" s="2" t="s">
        <v>43</v>
      </c>
      <c r="H31" s="2" t="s">
        <v>42</v>
      </c>
      <c r="I31" s="2" t="s">
        <v>31</v>
      </c>
      <c r="J31" s="2">
        <v>245.0</v>
      </c>
      <c r="K31" s="2">
        <v>155.0</v>
      </c>
      <c r="L31" s="2">
        <v>90.0</v>
      </c>
      <c r="M31" s="2">
        <v>78.0</v>
      </c>
      <c r="N31" s="2">
        <v>26.0</v>
      </c>
      <c r="O31" s="2">
        <v>63.0</v>
      </c>
      <c r="P31" s="2">
        <v>44.0</v>
      </c>
      <c r="Q31" s="2">
        <v>0.0</v>
      </c>
      <c r="R31" s="2">
        <v>1416.0</v>
      </c>
      <c r="S31" s="2">
        <v>0.0</v>
      </c>
      <c r="T31" s="2">
        <v>1416.0</v>
      </c>
      <c r="U31" s="2">
        <v>0.0</v>
      </c>
      <c r="V31" s="2">
        <v>0.0</v>
      </c>
      <c r="W31" s="2">
        <v>1416.0</v>
      </c>
    </row>
    <row r="32" ht="15.0" customHeight="1">
      <c r="A32" s="2">
        <v>2024.0</v>
      </c>
      <c r="B32" s="2" t="s">
        <v>23</v>
      </c>
      <c r="C32" s="2">
        <v>8.0</v>
      </c>
      <c r="D32" s="2" t="s">
        <v>24</v>
      </c>
      <c r="E32" s="2" t="s">
        <v>25</v>
      </c>
      <c r="F32" s="2" t="s">
        <v>26</v>
      </c>
      <c r="G32" s="2" t="s">
        <v>44</v>
      </c>
      <c r="H32" s="2" t="s">
        <v>45</v>
      </c>
      <c r="I32" s="2" t="s">
        <v>29</v>
      </c>
      <c r="J32" s="2">
        <v>6151.0</v>
      </c>
      <c r="K32" s="2">
        <v>3533.0</v>
      </c>
      <c r="L32" s="2">
        <v>1294.0</v>
      </c>
      <c r="M32" s="2">
        <v>1237.0</v>
      </c>
      <c r="N32" s="2">
        <v>962.0</v>
      </c>
      <c r="O32" s="2">
        <v>2058.0</v>
      </c>
      <c r="P32" s="2">
        <v>1877.0</v>
      </c>
      <c r="Q32" s="2">
        <v>984.0</v>
      </c>
      <c r="R32" s="2">
        <v>64702.0</v>
      </c>
      <c r="S32" s="2">
        <v>41560.0</v>
      </c>
      <c r="T32" s="2">
        <v>23142.0</v>
      </c>
      <c r="U32" s="2">
        <v>40569.0</v>
      </c>
      <c r="V32" s="2">
        <v>991.0</v>
      </c>
      <c r="W32" s="2">
        <v>24133.0</v>
      </c>
    </row>
    <row r="33" ht="15.0" customHeight="1">
      <c r="A33" s="2">
        <v>2024.0</v>
      </c>
      <c r="B33" s="2" t="s">
        <v>23</v>
      </c>
      <c r="C33" s="2">
        <v>8.0</v>
      </c>
      <c r="D33" s="2" t="s">
        <v>24</v>
      </c>
      <c r="E33" s="2" t="s">
        <v>25</v>
      </c>
      <c r="F33" s="2" t="s">
        <v>26</v>
      </c>
      <c r="G33" s="2" t="s">
        <v>44</v>
      </c>
      <c r="H33" s="2" t="s">
        <v>45</v>
      </c>
      <c r="I33" s="2" t="s">
        <v>30</v>
      </c>
      <c r="J33" s="2">
        <v>1830.0</v>
      </c>
      <c r="K33" s="2">
        <v>710.0</v>
      </c>
      <c r="L33" s="2">
        <v>216.0</v>
      </c>
      <c r="M33" s="2">
        <v>208.0</v>
      </c>
      <c r="N33" s="2">
        <v>143.0</v>
      </c>
      <c r="O33" s="2">
        <v>301.0</v>
      </c>
      <c r="P33" s="2">
        <v>261.0</v>
      </c>
      <c r="Q33" s="2">
        <v>125.0</v>
      </c>
      <c r="R33" s="2">
        <v>8916.0</v>
      </c>
      <c r="S33" s="2">
        <v>6069.0</v>
      </c>
      <c r="T33" s="2">
        <v>2847.0</v>
      </c>
      <c r="U33" s="2">
        <v>6054.0</v>
      </c>
      <c r="V33" s="2">
        <v>15.0</v>
      </c>
      <c r="W33" s="2">
        <v>2862.0</v>
      </c>
    </row>
    <row r="34" ht="15.0" customHeight="1">
      <c r="A34" s="2">
        <v>2024.0</v>
      </c>
      <c r="B34" s="2" t="s">
        <v>23</v>
      </c>
      <c r="C34" s="2">
        <v>8.0</v>
      </c>
      <c r="D34" s="2" t="s">
        <v>24</v>
      </c>
      <c r="E34" s="2" t="s">
        <v>25</v>
      </c>
      <c r="F34" s="2" t="s">
        <v>26</v>
      </c>
      <c r="G34" s="2" t="s">
        <v>44</v>
      </c>
      <c r="H34" s="2" t="s">
        <v>45</v>
      </c>
      <c r="I34" s="2" t="s">
        <v>31</v>
      </c>
      <c r="J34" s="2">
        <v>712.0</v>
      </c>
      <c r="K34" s="2">
        <v>407.0</v>
      </c>
      <c r="L34" s="2">
        <v>149.0</v>
      </c>
      <c r="M34" s="2">
        <v>136.0</v>
      </c>
      <c r="N34" s="2">
        <v>107.0</v>
      </c>
      <c r="O34" s="2">
        <v>247.0</v>
      </c>
      <c r="P34" s="2">
        <v>221.0</v>
      </c>
      <c r="Q34" s="2">
        <v>107.0</v>
      </c>
      <c r="R34" s="2">
        <v>7729.0</v>
      </c>
      <c r="S34" s="2">
        <v>30.0</v>
      </c>
      <c r="T34" s="2">
        <v>7699.0</v>
      </c>
      <c r="U34" s="2">
        <v>30.0</v>
      </c>
      <c r="V34" s="2">
        <v>0.0</v>
      </c>
      <c r="W34" s="2">
        <v>7699.0</v>
      </c>
    </row>
    <row r="35" ht="15.0" customHeight="1">
      <c r="A35" s="2">
        <v>2024.0</v>
      </c>
      <c r="B35" s="2" t="s">
        <v>23</v>
      </c>
      <c r="C35" s="2">
        <v>8.0</v>
      </c>
      <c r="D35" s="2" t="s">
        <v>24</v>
      </c>
      <c r="E35" s="2" t="s">
        <v>25</v>
      </c>
      <c r="F35" s="2" t="s">
        <v>26</v>
      </c>
      <c r="G35" s="2" t="s">
        <v>46</v>
      </c>
      <c r="H35" s="2" t="s">
        <v>47</v>
      </c>
      <c r="I35" s="2" t="s">
        <v>29</v>
      </c>
      <c r="J35" s="2">
        <v>8545.0</v>
      </c>
      <c r="K35" s="2">
        <v>4094.0</v>
      </c>
      <c r="L35" s="2">
        <v>1462.0</v>
      </c>
      <c r="M35" s="2">
        <v>1378.0</v>
      </c>
      <c r="N35" s="2">
        <v>1195.0</v>
      </c>
      <c r="O35" s="2">
        <v>2298.0</v>
      </c>
      <c r="P35" s="2">
        <v>1658.0</v>
      </c>
      <c r="Q35" s="2">
        <v>324.0</v>
      </c>
      <c r="R35" s="2">
        <v>56749.0</v>
      </c>
      <c r="S35" s="2">
        <v>38886.0</v>
      </c>
      <c r="T35" s="2">
        <v>17863.0</v>
      </c>
      <c r="U35" s="2">
        <v>38886.0</v>
      </c>
      <c r="V35" s="2">
        <v>0.0</v>
      </c>
      <c r="W35" s="2">
        <v>17863.0</v>
      </c>
    </row>
    <row r="36" ht="15.0" customHeight="1">
      <c r="A36" s="2">
        <v>2024.0</v>
      </c>
      <c r="B36" s="2" t="s">
        <v>23</v>
      </c>
      <c r="C36" s="2">
        <v>8.0</v>
      </c>
      <c r="D36" s="2" t="s">
        <v>24</v>
      </c>
      <c r="E36" s="2" t="s">
        <v>25</v>
      </c>
      <c r="F36" s="2" t="s">
        <v>26</v>
      </c>
      <c r="G36" s="2" t="s">
        <v>46</v>
      </c>
      <c r="H36" s="2" t="s">
        <v>47</v>
      </c>
      <c r="I36" s="2" t="s">
        <v>30</v>
      </c>
      <c r="J36" s="2">
        <v>1147.0</v>
      </c>
      <c r="K36" s="2">
        <v>420.0</v>
      </c>
      <c r="L36" s="2">
        <v>142.0</v>
      </c>
      <c r="M36" s="2">
        <v>136.0</v>
      </c>
      <c r="N36" s="2">
        <v>112.0</v>
      </c>
      <c r="O36" s="2">
        <v>234.0</v>
      </c>
      <c r="P36" s="2">
        <v>182.0</v>
      </c>
      <c r="Q36" s="2">
        <v>39.0</v>
      </c>
      <c r="R36" s="2">
        <v>6524.0</v>
      </c>
      <c r="S36" s="2">
        <v>3688.0</v>
      </c>
      <c r="T36" s="2">
        <v>2836.0</v>
      </c>
      <c r="U36" s="2">
        <v>3686.0</v>
      </c>
      <c r="V36" s="2">
        <v>2.0</v>
      </c>
      <c r="W36" s="2">
        <v>2838.0</v>
      </c>
    </row>
    <row r="37" ht="15.0" customHeight="1">
      <c r="A37" s="2">
        <v>2024.0</v>
      </c>
      <c r="B37" s="2" t="s">
        <v>23</v>
      </c>
      <c r="C37" s="2">
        <v>8.0</v>
      </c>
      <c r="D37" s="2" t="s">
        <v>24</v>
      </c>
      <c r="E37" s="2" t="s">
        <v>25</v>
      </c>
      <c r="F37" s="2" t="s">
        <v>26</v>
      </c>
      <c r="G37" s="2" t="s">
        <v>46</v>
      </c>
      <c r="H37" s="2" t="s">
        <v>47</v>
      </c>
      <c r="I37" s="2" t="s">
        <v>31</v>
      </c>
      <c r="J37" s="2">
        <v>1520.0</v>
      </c>
      <c r="K37" s="2">
        <v>820.0</v>
      </c>
      <c r="L37" s="2">
        <v>298.0</v>
      </c>
      <c r="M37" s="2">
        <v>242.0</v>
      </c>
      <c r="N37" s="2">
        <v>226.0</v>
      </c>
      <c r="O37" s="2">
        <v>427.0</v>
      </c>
      <c r="P37" s="2">
        <v>316.0</v>
      </c>
      <c r="Q37" s="2">
        <v>75.0</v>
      </c>
      <c r="R37" s="2">
        <v>11969.0</v>
      </c>
      <c r="S37" s="2">
        <v>3870.0</v>
      </c>
      <c r="T37" s="2">
        <v>8099.0</v>
      </c>
      <c r="U37" s="2">
        <v>3870.0</v>
      </c>
      <c r="V37" s="2">
        <v>0.0</v>
      </c>
      <c r="W37" s="2">
        <v>8099.0</v>
      </c>
    </row>
    <row r="38" ht="15.0" customHeight="1">
      <c r="A38" s="2">
        <v>2024.0</v>
      </c>
      <c r="B38" s="2" t="s">
        <v>23</v>
      </c>
      <c r="C38" s="2">
        <v>8.0</v>
      </c>
      <c r="D38" s="2" t="s">
        <v>24</v>
      </c>
      <c r="E38" s="2" t="s">
        <v>25</v>
      </c>
      <c r="F38" s="2" t="s">
        <v>48</v>
      </c>
      <c r="G38" s="2" t="s">
        <v>27</v>
      </c>
      <c r="H38" s="2" t="s">
        <v>28</v>
      </c>
      <c r="I38" s="2" t="s">
        <v>29</v>
      </c>
      <c r="J38" s="2">
        <v>7372.0</v>
      </c>
      <c r="K38" s="2">
        <v>3925.0</v>
      </c>
      <c r="L38" s="2">
        <v>1575.0</v>
      </c>
      <c r="M38" s="2">
        <v>1509.0</v>
      </c>
      <c r="N38" s="2">
        <v>875.0</v>
      </c>
      <c r="O38" s="2">
        <v>1376.0</v>
      </c>
      <c r="P38" s="2">
        <v>1262.0</v>
      </c>
      <c r="Q38" s="2">
        <v>0.0</v>
      </c>
      <c r="R38" s="2">
        <v>37451.0</v>
      </c>
      <c r="S38" s="2">
        <v>24396.0</v>
      </c>
      <c r="T38" s="2">
        <v>13055.0</v>
      </c>
      <c r="U38" s="2">
        <v>24117.0</v>
      </c>
      <c r="V38" s="2">
        <v>279.0</v>
      </c>
      <c r="W38" s="2">
        <v>13334.0</v>
      </c>
    </row>
    <row r="39" ht="15.0" customHeight="1">
      <c r="A39" s="2">
        <v>2024.0</v>
      </c>
      <c r="B39" s="2" t="s">
        <v>23</v>
      </c>
      <c r="C39" s="2">
        <v>8.0</v>
      </c>
      <c r="D39" s="2" t="s">
        <v>24</v>
      </c>
      <c r="E39" s="2" t="s">
        <v>25</v>
      </c>
      <c r="F39" s="2" t="s">
        <v>48</v>
      </c>
      <c r="G39" s="2" t="s">
        <v>27</v>
      </c>
      <c r="H39" s="2" t="s">
        <v>28</v>
      </c>
      <c r="I39" s="2" t="s">
        <v>30</v>
      </c>
      <c r="J39" s="2">
        <v>2796.0</v>
      </c>
      <c r="K39" s="2">
        <v>919.0</v>
      </c>
      <c r="L39" s="2">
        <v>281.0</v>
      </c>
      <c r="M39" s="2">
        <v>275.0</v>
      </c>
      <c r="N39" s="2">
        <v>137.0</v>
      </c>
      <c r="O39" s="2">
        <v>221.0</v>
      </c>
      <c r="P39" s="2">
        <v>207.0</v>
      </c>
      <c r="Q39" s="2">
        <v>0.0</v>
      </c>
      <c r="R39" s="2">
        <v>6221.0</v>
      </c>
      <c r="S39" s="2">
        <v>3451.0</v>
      </c>
      <c r="T39" s="2">
        <v>2770.0</v>
      </c>
      <c r="U39" s="2">
        <v>3367.0</v>
      </c>
      <c r="V39" s="2">
        <v>85.0</v>
      </c>
      <c r="W39" s="2">
        <v>2854.0</v>
      </c>
    </row>
    <row r="40" ht="15.0" customHeight="1">
      <c r="A40" s="2">
        <v>2024.0</v>
      </c>
      <c r="B40" s="2" t="s">
        <v>23</v>
      </c>
      <c r="C40" s="2">
        <v>8.0</v>
      </c>
      <c r="D40" s="2" t="s">
        <v>24</v>
      </c>
      <c r="E40" s="2" t="s">
        <v>25</v>
      </c>
      <c r="F40" s="2" t="s">
        <v>48</v>
      </c>
      <c r="G40" s="2" t="s">
        <v>27</v>
      </c>
      <c r="H40" s="2" t="s">
        <v>28</v>
      </c>
      <c r="I40" s="2" t="s">
        <v>31</v>
      </c>
      <c r="J40" s="2">
        <v>187.0</v>
      </c>
      <c r="K40" s="2">
        <v>126.0</v>
      </c>
      <c r="L40" s="2">
        <v>84.0</v>
      </c>
      <c r="M40" s="2">
        <v>69.0</v>
      </c>
      <c r="N40" s="2">
        <v>39.0</v>
      </c>
      <c r="O40" s="2">
        <v>64.0</v>
      </c>
      <c r="P40" s="2">
        <v>59.0</v>
      </c>
      <c r="Q40" s="2">
        <v>0.0</v>
      </c>
      <c r="R40" s="2">
        <v>1807.0</v>
      </c>
      <c r="S40" s="2">
        <v>19.0</v>
      </c>
      <c r="T40" s="2">
        <v>1788.0</v>
      </c>
      <c r="U40" s="2">
        <v>19.0</v>
      </c>
      <c r="V40" s="2">
        <v>0.0</v>
      </c>
      <c r="W40" s="2">
        <v>1788.0</v>
      </c>
    </row>
    <row r="41" ht="15.0" customHeight="1">
      <c r="A41" s="2">
        <v>2024.0</v>
      </c>
      <c r="B41" s="2" t="s">
        <v>23</v>
      </c>
      <c r="C41" s="2">
        <v>8.0</v>
      </c>
      <c r="D41" s="2" t="s">
        <v>24</v>
      </c>
      <c r="E41" s="2" t="s">
        <v>25</v>
      </c>
      <c r="F41" s="2" t="s">
        <v>48</v>
      </c>
      <c r="G41" s="2" t="s">
        <v>32</v>
      </c>
      <c r="H41" s="2" t="s">
        <v>28</v>
      </c>
      <c r="I41" s="2" t="s">
        <v>29</v>
      </c>
      <c r="J41" s="2">
        <v>840.0</v>
      </c>
      <c r="K41" s="2">
        <v>405.0</v>
      </c>
      <c r="L41" s="2">
        <v>188.0</v>
      </c>
      <c r="M41" s="2">
        <v>178.0</v>
      </c>
      <c r="N41" s="2">
        <v>45.0</v>
      </c>
      <c r="O41" s="2">
        <v>62.0</v>
      </c>
      <c r="P41" s="2">
        <v>56.0</v>
      </c>
      <c r="Q41" s="2">
        <v>0.0</v>
      </c>
      <c r="R41" s="2">
        <v>815.0</v>
      </c>
      <c r="S41" s="2">
        <v>694.0</v>
      </c>
      <c r="T41" s="2">
        <v>121.0</v>
      </c>
      <c r="U41" s="2">
        <v>617.0</v>
      </c>
      <c r="V41" s="2">
        <v>77.0</v>
      </c>
      <c r="W41" s="2">
        <v>198.0</v>
      </c>
    </row>
    <row r="42" ht="15.0" customHeight="1">
      <c r="A42" s="2">
        <v>2024.0</v>
      </c>
      <c r="B42" s="2" t="s">
        <v>23</v>
      </c>
      <c r="C42" s="2">
        <v>8.0</v>
      </c>
      <c r="D42" s="2" t="s">
        <v>24</v>
      </c>
      <c r="E42" s="2" t="s">
        <v>25</v>
      </c>
      <c r="F42" s="2" t="s">
        <v>48</v>
      </c>
      <c r="G42" s="2" t="s">
        <v>32</v>
      </c>
      <c r="H42" s="2" t="s">
        <v>28</v>
      </c>
      <c r="I42" s="2" t="s">
        <v>30</v>
      </c>
      <c r="J42" s="2">
        <v>346.0</v>
      </c>
      <c r="K42" s="2">
        <v>172.0</v>
      </c>
      <c r="L42" s="2">
        <v>92.0</v>
      </c>
      <c r="M42" s="2">
        <v>89.0</v>
      </c>
      <c r="N42" s="2">
        <v>27.0</v>
      </c>
      <c r="O42" s="2">
        <v>33.0</v>
      </c>
      <c r="P42" s="2">
        <v>29.0</v>
      </c>
      <c r="Q42" s="2">
        <v>0.0</v>
      </c>
      <c r="R42" s="2">
        <v>420.0</v>
      </c>
      <c r="S42" s="2">
        <v>128.0</v>
      </c>
      <c r="T42" s="2">
        <v>292.0</v>
      </c>
      <c r="U42" s="2">
        <v>128.0</v>
      </c>
      <c r="V42" s="2">
        <v>0.0</v>
      </c>
      <c r="W42" s="2">
        <v>292.0</v>
      </c>
    </row>
    <row r="43" ht="15.0" customHeight="1">
      <c r="A43" s="2">
        <v>2024.0</v>
      </c>
      <c r="B43" s="2" t="s">
        <v>23</v>
      </c>
      <c r="C43" s="2">
        <v>8.0</v>
      </c>
      <c r="D43" s="2" t="s">
        <v>24</v>
      </c>
      <c r="E43" s="2" t="s">
        <v>25</v>
      </c>
      <c r="F43" s="2" t="s">
        <v>48</v>
      </c>
      <c r="G43" s="2" t="s">
        <v>32</v>
      </c>
      <c r="H43" s="2" t="s">
        <v>28</v>
      </c>
      <c r="I43" s="2" t="s">
        <v>31</v>
      </c>
      <c r="J43" s="2">
        <v>1770.0</v>
      </c>
      <c r="K43" s="2">
        <v>877.0</v>
      </c>
      <c r="L43" s="2">
        <v>519.0</v>
      </c>
      <c r="M43" s="2">
        <v>469.0</v>
      </c>
      <c r="N43" s="2">
        <v>123.0</v>
      </c>
      <c r="O43" s="2">
        <v>144.0</v>
      </c>
      <c r="P43" s="2">
        <v>128.0</v>
      </c>
      <c r="Q43" s="2">
        <v>0.0</v>
      </c>
      <c r="R43" s="2">
        <v>2023.0</v>
      </c>
      <c r="S43" s="2">
        <v>5.0</v>
      </c>
      <c r="T43" s="2">
        <v>2017.0</v>
      </c>
      <c r="U43" s="2">
        <v>5.0</v>
      </c>
      <c r="V43" s="2">
        <v>0.0</v>
      </c>
      <c r="W43" s="2">
        <v>2017.0</v>
      </c>
    </row>
    <row r="44" ht="15.0" customHeight="1">
      <c r="A44" s="2">
        <v>2024.0</v>
      </c>
      <c r="B44" s="2" t="s">
        <v>23</v>
      </c>
      <c r="C44" s="2">
        <v>8.0</v>
      </c>
      <c r="D44" s="2" t="s">
        <v>24</v>
      </c>
      <c r="E44" s="2" t="s">
        <v>25</v>
      </c>
      <c r="F44" s="2" t="s">
        <v>48</v>
      </c>
      <c r="G44" s="2" t="s">
        <v>33</v>
      </c>
      <c r="H44" s="2" t="s">
        <v>28</v>
      </c>
      <c r="I44" s="2" t="s">
        <v>29</v>
      </c>
      <c r="J44" s="2">
        <v>4999.0</v>
      </c>
      <c r="K44" s="2">
        <v>3045.0</v>
      </c>
      <c r="L44" s="2">
        <v>1264.0</v>
      </c>
      <c r="M44" s="2">
        <v>1208.0</v>
      </c>
      <c r="N44" s="2">
        <v>875.0</v>
      </c>
      <c r="O44" s="2">
        <v>1194.0</v>
      </c>
      <c r="P44" s="2">
        <v>1133.0</v>
      </c>
      <c r="Q44" s="2">
        <v>1035.0</v>
      </c>
      <c r="R44" s="2">
        <v>30906.0</v>
      </c>
      <c r="S44" s="2">
        <v>23203.0</v>
      </c>
      <c r="T44" s="2">
        <v>7703.0</v>
      </c>
      <c r="U44" s="2">
        <v>23090.0</v>
      </c>
      <c r="V44" s="2">
        <v>113.0</v>
      </c>
      <c r="W44" s="2">
        <v>7816.0</v>
      </c>
    </row>
    <row r="45" ht="15.0" customHeight="1">
      <c r="A45" s="2">
        <v>2024.0</v>
      </c>
      <c r="B45" s="2" t="s">
        <v>23</v>
      </c>
      <c r="C45" s="2">
        <v>8.0</v>
      </c>
      <c r="D45" s="2" t="s">
        <v>24</v>
      </c>
      <c r="E45" s="2" t="s">
        <v>25</v>
      </c>
      <c r="F45" s="2" t="s">
        <v>48</v>
      </c>
      <c r="G45" s="2" t="s">
        <v>33</v>
      </c>
      <c r="H45" s="2" t="s">
        <v>28</v>
      </c>
      <c r="I45" s="2" t="s">
        <v>30</v>
      </c>
      <c r="J45" s="2">
        <v>3098.0</v>
      </c>
      <c r="K45" s="2">
        <v>1057.0</v>
      </c>
      <c r="L45" s="2">
        <v>471.0</v>
      </c>
      <c r="M45" s="2">
        <v>453.0</v>
      </c>
      <c r="N45" s="2">
        <v>218.0</v>
      </c>
      <c r="O45" s="2">
        <v>294.0</v>
      </c>
      <c r="P45" s="2">
        <v>276.0</v>
      </c>
      <c r="Q45" s="2">
        <v>252.0</v>
      </c>
      <c r="R45" s="2">
        <v>6480.0</v>
      </c>
      <c r="S45" s="2">
        <v>5551.0</v>
      </c>
      <c r="T45" s="2">
        <v>929.0</v>
      </c>
      <c r="U45" s="2">
        <v>5551.0</v>
      </c>
      <c r="V45" s="2">
        <v>0.0</v>
      </c>
      <c r="W45" s="2">
        <v>929.0</v>
      </c>
    </row>
    <row r="46" ht="15.0" customHeight="1">
      <c r="A46" s="2">
        <v>2024.0</v>
      </c>
      <c r="B46" s="2" t="s">
        <v>23</v>
      </c>
      <c r="C46" s="2">
        <v>8.0</v>
      </c>
      <c r="D46" s="2" t="s">
        <v>24</v>
      </c>
      <c r="E46" s="2" t="s">
        <v>25</v>
      </c>
      <c r="F46" s="2" t="s">
        <v>48</v>
      </c>
      <c r="G46" s="2" t="s">
        <v>33</v>
      </c>
      <c r="H46" s="2" t="s">
        <v>28</v>
      </c>
      <c r="I46" s="2" t="s">
        <v>31</v>
      </c>
      <c r="J46" s="2">
        <v>187.0</v>
      </c>
      <c r="K46" s="2">
        <v>68.0</v>
      </c>
      <c r="L46" s="2">
        <v>41.0</v>
      </c>
      <c r="M46" s="2">
        <v>36.0</v>
      </c>
      <c r="N46" s="2">
        <v>20.0</v>
      </c>
      <c r="O46" s="2">
        <v>28.0</v>
      </c>
      <c r="P46" s="2">
        <v>25.0</v>
      </c>
      <c r="Q46" s="2">
        <v>24.0</v>
      </c>
      <c r="R46" s="2">
        <v>689.0</v>
      </c>
      <c r="S46" s="2">
        <v>0.0</v>
      </c>
      <c r="T46" s="2">
        <v>689.0</v>
      </c>
      <c r="U46" s="2">
        <v>0.0</v>
      </c>
      <c r="V46" s="2">
        <v>0.0</v>
      </c>
      <c r="W46" s="2">
        <v>689.0</v>
      </c>
    </row>
    <row r="47" ht="15.0" customHeight="1">
      <c r="A47" s="2">
        <v>2024.0</v>
      </c>
      <c r="B47" s="2" t="s">
        <v>23</v>
      </c>
      <c r="C47" s="2">
        <v>8.0</v>
      </c>
      <c r="D47" s="2" t="s">
        <v>24</v>
      </c>
      <c r="E47" s="2" t="s">
        <v>25</v>
      </c>
      <c r="F47" s="2" t="s">
        <v>48</v>
      </c>
      <c r="G47" s="2" t="s">
        <v>34</v>
      </c>
      <c r="H47" s="2" t="s">
        <v>35</v>
      </c>
      <c r="I47" s="2" t="s">
        <v>29</v>
      </c>
      <c r="J47" s="2">
        <v>40113.0</v>
      </c>
      <c r="K47" s="2">
        <v>25286.0</v>
      </c>
      <c r="L47" s="2">
        <v>11267.0</v>
      </c>
      <c r="M47" s="2">
        <v>10789.0</v>
      </c>
      <c r="N47" s="2">
        <v>4065.0</v>
      </c>
      <c r="O47" s="2">
        <v>5369.0</v>
      </c>
      <c r="P47" s="2">
        <v>4754.0</v>
      </c>
      <c r="Q47" s="2">
        <v>0.0</v>
      </c>
      <c r="R47" s="2">
        <v>74729.0</v>
      </c>
      <c r="S47" s="2">
        <v>59551.0</v>
      </c>
      <c r="T47" s="2">
        <v>15178.0</v>
      </c>
      <c r="U47" s="2">
        <v>52733.0</v>
      </c>
      <c r="V47" s="2">
        <v>6818.0</v>
      </c>
      <c r="W47" s="2">
        <v>21996.0</v>
      </c>
    </row>
    <row r="48" ht="15.0" customHeight="1">
      <c r="A48" s="2">
        <v>2024.0</v>
      </c>
      <c r="B48" s="2" t="s">
        <v>23</v>
      </c>
      <c r="C48" s="2">
        <v>8.0</v>
      </c>
      <c r="D48" s="2" t="s">
        <v>24</v>
      </c>
      <c r="E48" s="2" t="s">
        <v>25</v>
      </c>
      <c r="F48" s="2" t="s">
        <v>48</v>
      </c>
      <c r="G48" s="2" t="s">
        <v>34</v>
      </c>
      <c r="H48" s="2" t="s">
        <v>35</v>
      </c>
      <c r="I48" s="2" t="s">
        <v>30</v>
      </c>
      <c r="J48" s="2">
        <v>18171.0</v>
      </c>
      <c r="K48" s="2">
        <v>9346.0</v>
      </c>
      <c r="L48" s="2">
        <v>3426.0</v>
      </c>
      <c r="M48" s="2">
        <v>3208.0</v>
      </c>
      <c r="N48" s="2">
        <v>1054.0</v>
      </c>
      <c r="O48" s="2">
        <v>1386.0</v>
      </c>
      <c r="P48" s="2">
        <v>1216.0</v>
      </c>
      <c r="Q48" s="2">
        <v>0.0</v>
      </c>
      <c r="R48" s="2">
        <v>19691.0</v>
      </c>
      <c r="S48" s="2">
        <v>13690.0</v>
      </c>
      <c r="T48" s="2">
        <v>6003.0</v>
      </c>
      <c r="U48" s="2">
        <v>13690.0</v>
      </c>
      <c r="V48" s="2">
        <v>0.0</v>
      </c>
      <c r="W48" s="2">
        <v>6003.0</v>
      </c>
    </row>
    <row r="49" ht="15.0" customHeight="1">
      <c r="A49" s="2">
        <v>2024.0</v>
      </c>
      <c r="B49" s="2" t="s">
        <v>23</v>
      </c>
      <c r="C49" s="2">
        <v>8.0</v>
      </c>
      <c r="D49" s="2" t="s">
        <v>24</v>
      </c>
      <c r="E49" s="2" t="s">
        <v>25</v>
      </c>
      <c r="F49" s="2" t="s">
        <v>48</v>
      </c>
      <c r="G49" s="2" t="s">
        <v>34</v>
      </c>
      <c r="H49" s="2" t="s">
        <v>35</v>
      </c>
      <c r="I49" s="2" t="s">
        <v>31</v>
      </c>
      <c r="J49" s="2">
        <v>1271.0</v>
      </c>
      <c r="K49" s="2">
        <v>718.0</v>
      </c>
      <c r="L49" s="2">
        <v>537.0</v>
      </c>
      <c r="M49" s="2">
        <v>445.0</v>
      </c>
      <c r="N49" s="2">
        <v>161.0</v>
      </c>
      <c r="O49" s="2">
        <v>214.0</v>
      </c>
      <c r="P49" s="2">
        <v>187.0</v>
      </c>
      <c r="Q49" s="2">
        <v>0.0</v>
      </c>
      <c r="R49" s="2">
        <v>2989.0</v>
      </c>
      <c r="S49" s="2">
        <v>28.0</v>
      </c>
      <c r="T49" s="2">
        <v>2961.0</v>
      </c>
      <c r="U49" s="2">
        <v>28.0</v>
      </c>
      <c r="V49" s="2">
        <v>0.0</v>
      </c>
      <c r="W49" s="2">
        <v>2961.0</v>
      </c>
    </row>
    <row r="50" ht="15.0" customHeight="1">
      <c r="A50" s="2">
        <v>2024.0</v>
      </c>
      <c r="B50" s="2" t="s">
        <v>23</v>
      </c>
      <c r="C50" s="2">
        <v>8.0</v>
      </c>
      <c r="D50" s="2" t="s">
        <v>24</v>
      </c>
      <c r="E50" s="2" t="s">
        <v>25</v>
      </c>
      <c r="F50" s="2" t="s">
        <v>48</v>
      </c>
      <c r="G50" s="2" t="s">
        <v>36</v>
      </c>
      <c r="H50" s="2" t="s">
        <v>35</v>
      </c>
      <c r="I50" s="2" t="s">
        <v>29</v>
      </c>
      <c r="J50" s="2">
        <v>16616.0</v>
      </c>
      <c r="K50" s="2">
        <v>9819.0</v>
      </c>
      <c r="L50" s="2">
        <v>4598.0</v>
      </c>
      <c r="M50" s="2">
        <v>4419.0</v>
      </c>
      <c r="N50" s="2">
        <v>3011.0</v>
      </c>
      <c r="O50" s="2">
        <v>5513.0</v>
      </c>
      <c r="P50" s="2">
        <v>5080.0</v>
      </c>
      <c r="Q50" s="2">
        <v>0.0</v>
      </c>
      <c r="R50" s="2">
        <v>64283.0</v>
      </c>
      <c r="S50" s="2">
        <v>50721.0</v>
      </c>
      <c r="T50" s="2">
        <v>13562.0</v>
      </c>
      <c r="U50" s="2">
        <v>49074.0</v>
      </c>
      <c r="V50" s="2">
        <v>1646.0</v>
      </c>
      <c r="W50" s="2">
        <v>15208.0</v>
      </c>
    </row>
    <row r="51" ht="15.0" customHeight="1">
      <c r="A51" s="2">
        <v>2024.0</v>
      </c>
      <c r="B51" s="2" t="s">
        <v>23</v>
      </c>
      <c r="C51" s="2">
        <v>8.0</v>
      </c>
      <c r="D51" s="2" t="s">
        <v>24</v>
      </c>
      <c r="E51" s="2" t="s">
        <v>25</v>
      </c>
      <c r="F51" s="2" t="s">
        <v>48</v>
      </c>
      <c r="G51" s="2" t="s">
        <v>36</v>
      </c>
      <c r="H51" s="2" t="s">
        <v>35</v>
      </c>
      <c r="I51" s="2" t="s">
        <v>30</v>
      </c>
      <c r="J51" s="2">
        <v>4867.0</v>
      </c>
      <c r="K51" s="2">
        <v>1799.0</v>
      </c>
      <c r="L51" s="2">
        <v>835.0</v>
      </c>
      <c r="M51" s="2">
        <v>792.0</v>
      </c>
      <c r="N51" s="2">
        <v>527.0</v>
      </c>
      <c r="O51" s="2">
        <v>1011.0</v>
      </c>
      <c r="P51" s="2">
        <v>927.0</v>
      </c>
      <c r="Q51" s="2">
        <v>0.0</v>
      </c>
      <c r="R51" s="2">
        <v>11755.0</v>
      </c>
      <c r="S51" s="2">
        <v>10691.0</v>
      </c>
      <c r="T51" s="2">
        <v>1064.0</v>
      </c>
      <c r="U51" s="2">
        <v>9126.0</v>
      </c>
      <c r="V51" s="2">
        <v>1565.0</v>
      </c>
      <c r="W51" s="2">
        <v>2629.0</v>
      </c>
    </row>
    <row r="52" ht="15.0" customHeight="1">
      <c r="A52" s="2">
        <v>2024.0</v>
      </c>
      <c r="B52" s="2" t="s">
        <v>23</v>
      </c>
      <c r="C52" s="2">
        <v>8.0</v>
      </c>
      <c r="D52" s="2" t="s">
        <v>24</v>
      </c>
      <c r="E52" s="2" t="s">
        <v>25</v>
      </c>
      <c r="F52" s="2" t="s">
        <v>48</v>
      </c>
      <c r="G52" s="2" t="s">
        <v>36</v>
      </c>
      <c r="H52" s="2" t="s">
        <v>35</v>
      </c>
      <c r="I52" s="2" t="s">
        <v>31</v>
      </c>
      <c r="J52" s="2">
        <v>1118.0</v>
      </c>
      <c r="K52" s="2">
        <v>775.0</v>
      </c>
      <c r="L52" s="2">
        <v>508.0</v>
      </c>
      <c r="M52" s="2">
        <v>464.0</v>
      </c>
      <c r="N52" s="2">
        <v>287.0</v>
      </c>
      <c r="O52" s="2">
        <v>569.0</v>
      </c>
      <c r="P52" s="2">
        <v>519.0</v>
      </c>
      <c r="Q52" s="2">
        <v>0.0</v>
      </c>
      <c r="R52" s="2">
        <v>6681.0</v>
      </c>
      <c r="S52" s="2">
        <v>39.0</v>
      </c>
      <c r="T52" s="2">
        <v>6643.0</v>
      </c>
      <c r="U52" s="2">
        <v>39.0</v>
      </c>
      <c r="V52" s="2">
        <v>0.0</v>
      </c>
      <c r="W52" s="2">
        <v>6643.0</v>
      </c>
    </row>
    <row r="53" ht="15.0" customHeight="1">
      <c r="A53" s="2">
        <v>2024.0</v>
      </c>
      <c r="B53" s="2" t="s">
        <v>23</v>
      </c>
      <c r="C53" s="2">
        <v>8.0</v>
      </c>
      <c r="D53" s="2" t="s">
        <v>24</v>
      </c>
      <c r="E53" s="2" t="s">
        <v>25</v>
      </c>
      <c r="F53" s="2" t="s">
        <v>48</v>
      </c>
      <c r="G53" s="2" t="s">
        <v>37</v>
      </c>
      <c r="H53" s="2" t="s">
        <v>35</v>
      </c>
      <c r="I53" s="2" t="s">
        <v>29</v>
      </c>
      <c r="J53" s="2">
        <v>4188.0</v>
      </c>
      <c r="K53" s="2">
        <v>1979.0</v>
      </c>
      <c r="L53" s="2">
        <v>794.0</v>
      </c>
      <c r="M53" s="2">
        <v>759.0</v>
      </c>
      <c r="N53" s="2">
        <v>499.0</v>
      </c>
      <c r="O53" s="2">
        <v>997.0</v>
      </c>
      <c r="P53" s="2">
        <v>761.0</v>
      </c>
      <c r="Q53" s="2">
        <v>33.0</v>
      </c>
      <c r="R53" s="2">
        <v>18745.0</v>
      </c>
      <c r="S53" s="2">
        <v>16680.0</v>
      </c>
      <c r="T53" s="2">
        <v>2064.0</v>
      </c>
      <c r="U53" s="2">
        <v>16680.0</v>
      </c>
      <c r="V53" s="2">
        <v>0.0</v>
      </c>
      <c r="W53" s="2">
        <v>2064.0</v>
      </c>
    </row>
    <row r="54" ht="15.0" customHeight="1">
      <c r="A54" s="2">
        <v>2024.0</v>
      </c>
      <c r="B54" s="2" t="s">
        <v>23</v>
      </c>
      <c r="C54" s="2">
        <v>8.0</v>
      </c>
      <c r="D54" s="2" t="s">
        <v>24</v>
      </c>
      <c r="E54" s="2" t="s">
        <v>25</v>
      </c>
      <c r="F54" s="2" t="s">
        <v>48</v>
      </c>
      <c r="G54" s="2" t="s">
        <v>37</v>
      </c>
      <c r="H54" s="2" t="s">
        <v>35</v>
      </c>
      <c r="I54" s="2" t="s">
        <v>30</v>
      </c>
      <c r="J54" s="2">
        <v>957.0</v>
      </c>
      <c r="K54" s="2">
        <v>298.0</v>
      </c>
      <c r="L54" s="2">
        <v>115.0</v>
      </c>
      <c r="M54" s="2">
        <v>110.0</v>
      </c>
      <c r="N54" s="2">
        <v>76.0</v>
      </c>
      <c r="O54" s="2">
        <v>144.0</v>
      </c>
      <c r="P54" s="2">
        <v>118.0</v>
      </c>
      <c r="Q54" s="2">
        <v>6.0</v>
      </c>
      <c r="R54" s="2">
        <v>2901.0</v>
      </c>
      <c r="S54" s="2">
        <v>1850.0</v>
      </c>
      <c r="T54" s="2">
        <v>1051.0</v>
      </c>
      <c r="U54" s="2">
        <v>1850.0</v>
      </c>
      <c r="V54" s="2">
        <v>0.0</v>
      </c>
      <c r="W54" s="2">
        <v>1051.0</v>
      </c>
    </row>
    <row r="55" ht="15.0" customHeight="1">
      <c r="A55" s="2">
        <v>2024.0</v>
      </c>
      <c r="B55" s="2" t="s">
        <v>23</v>
      </c>
      <c r="C55" s="2">
        <v>8.0</v>
      </c>
      <c r="D55" s="2" t="s">
        <v>24</v>
      </c>
      <c r="E55" s="2" t="s">
        <v>25</v>
      </c>
      <c r="F55" s="2" t="s">
        <v>48</v>
      </c>
      <c r="G55" s="2" t="s">
        <v>37</v>
      </c>
      <c r="H55" s="2" t="s">
        <v>35</v>
      </c>
      <c r="I55" s="2" t="s">
        <v>31</v>
      </c>
      <c r="J55" s="2">
        <v>78.0</v>
      </c>
      <c r="K55" s="2">
        <v>55.0</v>
      </c>
      <c r="L55" s="2">
        <v>29.0</v>
      </c>
      <c r="M55" s="2">
        <v>27.0</v>
      </c>
      <c r="N55" s="2">
        <v>18.0</v>
      </c>
      <c r="O55" s="2">
        <v>51.0</v>
      </c>
      <c r="P55" s="2">
        <v>45.0</v>
      </c>
      <c r="Q55" s="2">
        <v>2.0</v>
      </c>
      <c r="R55" s="2">
        <v>1094.0</v>
      </c>
      <c r="S55" s="2">
        <v>0.0</v>
      </c>
      <c r="T55" s="2">
        <v>1094.0</v>
      </c>
      <c r="U55" s="2">
        <v>0.0</v>
      </c>
      <c r="V55" s="2">
        <v>0.0</v>
      </c>
      <c r="W55" s="2">
        <v>1094.0</v>
      </c>
    </row>
    <row r="56" ht="15.0" customHeight="1">
      <c r="A56" s="2">
        <v>2024.0</v>
      </c>
      <c r="B56" s="2" t="s">
        <v>23</v>
      </c>
      <c r="C56" s="2">
        <v>8.0</v>
      </c>
      <c r="D56" s="2" t="s">
        <v>24</v>
      </c>
      <c r="E56" s="2" t="s">
        <v>25</v>
      </c>
      <c r="F56" s="2" t="s">
        <v>48</v>
      </c>
      <c r="G56" s="2" t="s">
        <v>38</v>
      </c>
      <c r="H56" s="2" t="s">
        <v>35</v>
      </c>
      <c r="I56" s="2" t="s">
        <v>29</v>
      </c>
      <c r="J56" s="2">
        <v>5059.0</v>
      </c>
      <c r="K56" s="2">
        <v>2765.0</v>
      </c>
      <c r="L56" s="2">
        <v>1322.0</v>
      </c>
      <c r="M56" s="2">
        <v>1270.0</v>
      </c>
      <c r="N56" s="2">
        <v>666.0</v>
      </c>
      <c r="O56" s="2">
        <v>937.0</v>
      </c>
      <c r="P56" s="2">
        <v>803.0</v>
      </c>
      <c r="Q56" s="2">
        <v>138.0</v>
      </c>
      <c r="R56" s="2">
        <v>14929.0</v>
      </c>
      <c r="S56" s="2">
        <v>9871.0</v>
      </c>
      <c r="T56" s="2">
        <v>5058.0</v>
      </c>
      <c r="U56" s="2">
        <v>9707.0</v>
      </c>
      <c r="V56" s="2">
        <v>164.0</v>
      </c>
      <c r="W56" s="2">
        <v>5222.0</v>
      </c>
    </row>
    <row r="57" ht="15.0" customHeight="1">
      <c r="A57" s="2">
        <v>2024.0</v>
      </c>
      <c r="B57" s="2" t="s">
        <v>23</v>
      </c>
      <c r="C57" s="2">
        <v>8.0</v>
      </c>
      <c r="D57" s="2" t="s">
        <v>24</v>
      </c>
      <c r="E57" s="2" t="s">
        <v>25</v>
      </c>
      <c r="F57" s="2" t="s">
        <v>48</v>
      </c>
      <c r="G57" s="2" t="s">
        <v>38</v>
      </c>
      <c r="H57" s="2" t="s">
        <v>35</v>
      </c>
      <c r="I57" s="2" t="s">
        <v>30</v>
      </c>
      <c r="J57" s="2">
        <v>7977.0</v>
      </c>
      <c r="K57" s="2">
        <v>3122.0</v>
      </c>
      <c r="L57" s="2">
        <v>2124.0</v>
      </c>
      <c r="M57" s="2">
        <v>2060.0</v>
      </c>
      <c r="N57" s="2">
        <v>1026.0</v>
      </c>
      <c r="O57" s="2">
        <v>1411.0</v>
      </c>
      <c r="P57" s="2">
        <v>1211.0</v>
      </c>
      <c r="Q57" s="2">
        <v>286.0</v>
      </c>
      <c r="R57" s="2">
        <v>22255.0</v>
      </c>
      <c r="S57" s="2">
        <v>17667.0</v>
      </c>
      <c r="T57" s="2">
        <v>4587.0</v>
      </c>
      <c r="U57" s="2">
        <v>17667.0</v>
      </c>
      <c r="V57" s="2">
        <v>0.0</v>
      </c>
      <c r="W57" s="2">
        <v>4587.0</v>
      </c>
    </row>
    <row r="58" ht="15.0" customHeight="1">
      <c r="A58" s="2">
        <v>2024.0</v>
      </c>
      <c r="B58" s="2" t="s">
        <v>23</v>
      </c>
      <c r="C58" s="2">
        <v>8.0</v>
      </c>
      <c r="D58" s="2" t="s">
        <v>24</v>
      </c>
      <c r="E58" s="2" t="s">
        <v>25</v>
      </c>
      <c r="F58" s="2" t="s">
        <v>48</v>
      </c>
      <c r="G58" s="2" t="s">
        <v>38</v>
      </c>
      <c r="H58" s="2" t="s">
        <v>35</v>
      </c>
      <c r="I58" s="2" t="s">
        <v>31</v>
      </c>
      <c r="J58" s="2">
        <v>1503.0</v>
      </c>
      <c r="K58" s="2">
        <v>525.0</v>
      </c>
      <c r="L58" s="2">
        <v>371.0</v>
      </c>
      <c r="M58" s="2">
        <v>340.0</v>
      </c>
      <c r="N58" s="2">
        <v>160.0</v>
      </c>
      <c r="O58" s="2">
        <v>222.0</v>
      </c>
      <c r="P58" s="2">
        <v>184.0</v>
      </c>
      <c r="Q58" s="2">
        <v>33.0</v>
      </c>
      <c r="R58" s="2">
        <v>3481.0</v>
      </c>
      <c r="S58" s="2">
        <v>9.0</v>
      </c>
      <c r="T58" s="2">
        <v>3472.0</v>
      </c>
      <c r="U58" s="2">
        <v>9.0</v>
      </c>
      <c r="V58" s="2">
        <v>0.0</v>
      </c>
      <c r="W58" s="2">
        <v>3472.0</v>
      </c>
    </row>
    <row r="59" ht="15.0" customHeight="1">
      <c r="A59" s="2">
        <v>2024.0</v>
      </c>
      <c r="B59" s="2" t="s">
        <v>23</v>
      </c>
      <c r="C59" s="2">
        <v>8.0</v>
      </c>
      <c r="D59" s="2" t="s">
        <v>24</v>
      </c>
      <c r="E59" s="2" t="s">
        <v>25</v>
      </c>
      <c r="F59" s="2" t="s">
        <v>48</v>
      </c>
      <c r="G59" s="2" t="s">
        <v>39</v>
      </c>
      <c r="H59" s="2" t="s">
        <v>40</v>
      </c>
      <c r="I59" s="2" t="s">
        <v>29</v>
      </c>
      <c r="J59" s="2">
        <v>35289.0</v>
      </c>
      <c r="K59" s="2">
        <v>21886.0</v>
      </c>
      <c r="L59" s="2">
        <v>10464.0</v>
      </c>
      <c r="M59" s="2">
        <v>10020.0</v>
      </c>
      <c r="N59" s="2">
        <v>8903.0</v>
      </c>
      <c r="O59" s="2">
        <v>15475.0</v>
      </c>
      <c r="P59" s="2">
        <v>15033.0</v>
      </c>
      <c r="Q59" s="2">
        <v>11362.0</v>
      </c>
      <c r="R59" s="2">
        <v>110125.0</v>
      </c>
      <c r="S59" s="2">
        <v>78755.0</v>
      </c>
      <c r="T59" s="2">
        <v>31370.0</v>
      </c>
      <c r="U59" s="2">
        <v>77449.0</v>
      </c>
      <c r="V59" s="2">
        <v>1306.0</v>
      </c>
      <c r="W59" s="2">
        <v>32676.0</v>
      </c>
    </row>
    <row r="60" ht="15.0" customHeight="1">
      <c r="A60" s="2">
        <v>2024.0</v>
      </c>
      <c r="B60" s="2" t="s">
        <v>23</v>
      </c>
      <c r="C60" s="2">
        <v>8.0</v>
      </c>
      <c r="D60" s="2" t="s">
        <v>24</v>
      </c>
      <c r="E60" s="2" t="s">
        <v>25</v>
      </c>
      <c r="F60" s="2" t="s">
        <v>48</v>
      </c>
      <c r="G60" s="2" t="s">
        <v>39</v>
      </c>
      <c r="H60" s="2" t="s">
        <v>40</v>
      </c>
      <c r="I60" s="2" t="s">
        <v>30</v>
      </c>
      <c r="J60" s="2">
        <v>6938.0</v>
      </c>
      <c r="K60" s="2">
        <v>3377.0</v>
      </c>
      <c r="L60" s="2">
        <v>1292.0</v>
      </c>
      <c r="M60" s="2">
        <v>1232.0</v>
      </c>
      <c r="N60" s="2">
        <v>1049.0</v>
      </c>
      <c r="O60" s="2">
        <v>1809.0</v>
      </c>
      <c r="P60" s="2">
        <v>1759.0</v>
      </c>
      <c r="Q60" s="2">
        <v>1251.0</v>
      </c>
      <c r="R60" s="2">
        <v>12800.0</v>
      </c>
      <c r="S60" s="2">
        <v>9826.0</v>
      </c>
      <c r="T60" s="2">
        <v>2973.0</v>
      </c>
      <c r="U60" s="2">
        <v>9802.0</v>
      </c>
      <c r="V60" s="2">
        <v>24.0</v>
      </c>
      <c r="W60" s="2">
        <v>2997.0</v>
      </c>
    </row>
    <row r="61" ht="15.0" customHeight="1">
      <c r="A61" s="2">
        <v>2024.0</v>
      </c>
      <c r="B61" s="2" t="s">
        <v>23</v>
      </c>
      <c r="C61" s="2">
        <v>8.0</v>
      </c>
      <c r="D61" s="2" t="s">
        <v>24</v>
      </c>
      <c r="E61" s="2" t="s">
        <v>25</v>
      </c>
      <c r="F61" s="2" t="s">
        <v>48</v>
      </c>
      <c r="G61" s="2" t="s">
        <v>39</v>
      </c>
      <c r="H61" s="2" t="s">
        <v>40</v>
      </c>
      <c r="I61" s="2" t="s">
        <v>31</v>
      </c>
      <c r="J61" s="2">
        <v>3965.0</v>
      </c>
      <c r="K61" s="2">
        <v>2302.0</v>
      </c>
      <c r="L61" s="2">
        <v>1254.0</v>
      </c>
      <c r="M61" s="2">
        <v>1110.0</v>
      </c>
      <c r="N61" s="2">
        <v>995.0</v>
      </c>
      <c r="O61" s="2">
        <v>1838.0</v>
      </c>
      <c r="P61" s="2">
        <v>1791.0</v>
      </c>
      <c r="Q61" s="2">
        <v>1304.0</v>
      </c>
      <c r="R61" s="2">
        <v>14589.0</v>
      </c>
      <c r="S61" s="2">
        <v>31.0</v>
      </c>
      <c r="T61" s="2">
        <v>14558.0</v>
      </c>
      <c r="U61" s="2">
        <v>31.0</v>
      </c>
      <c r="V61" s="2">
        <v>0.0</v>
      </c>
      <c r="W61" s="2">
        <v>14558.0</v>
      </c>
    </row>
    <row r="62" ht="15.0" customHeight="1">
      <c r="A62" s="2">
        <v>2024.0</v>
      </c>
      <c r="B62" s="2" t="s">
        <v>23</v>
      </c>
      <c r="C62" s="2">
        <v>8.0</v>
      </c>
      <c r="D62" s="2" t="s">
        <v>24</v>
      </c>
      <c r="E62" s="2" t="s">
        <v>25</v>
      </c>
      <c r="F62" s="2" t="s">
        <v>48</v>
      </c>
      <c r="G62" s="2" t="s">
        <v>41</v>
      </c>
      <c r="H62" s="2" t="s">
        <v>42</v>
      </c>
      <c r="I62" s="2" t="s">
        <v>29</v>
      </c>
      <c r="J62" s="2">
        <v>57115.0</v>
      </c>
      <c r="K62" s="2">
        <v>31716.0</v>
      </c>
      <c r="L62" s="2">
        <v>7301.0</v>
      </c>
      <c r="M62" s="2">
        <v>6610.0</v>
      </c>
      <c r="N62" s="2">
        <v>2978.0</v>
      </c>
      <c r="O62" s="2">
        <v>4084.0</v>
      </c>
      <c r="P62" s="2">
        <v>3486.0</v>
      </c>
      <c r="Q62" s="2">
        <v>0.0</v>
      </c>
      <c r="R62" s="2">
        <v>34578.0</v>
      </c>
      <c r="S62" s="2">
        <v>27914.0</v>
      </c>
      <c r="T62" s="2">
        <v>6664.0</v>
      </c>
      <c r="U62" s="2">
        <v>25402.0</v>
      </c>
      <c r="V62" s="2">
        <v>2512.0</v>
      </c>
      <c r="W62" s="2">
        <v>9176.0</v>
      </c>
    </row>
    <row r="63" ht="15.0" customHeight="1">
      <c r="A63" s="2">
        <v>2024.0</v>
      </c>
      <c r="B63" s="2" t="s">
        <v>23</v>
      </c>
      <c r="C63" s="2">
        <v>8.0</v>
      </c>
      <c r="D63" s="2" t="s">
        <v>24</v>
      </c>
      <c r="E63" s="2" t="s">
        <v>25</v>
      </c>
      <c r="F63" s="2" t="s">
        <v>48</v>
      </c>
      <c r="G63" s="2" t="s">
        <v>41</v>
      </c>
      <c r="H63" s="2" t="s">
        <v>42</v>
      </c>
      <c r="I63" s="2" t="s">
        <v>30</v>
      </c>
      <c r="J63" s="2">
        <v>8490.0</v>
      </c>
      <c r="K63" s="2">
        <v>4637.0</v>
      </c>
      <c r="L63" s="2">
        <v>2590.0</v>
      </c>
      <c r="M63" s="2">
        <v>2413.0</v>
      </c>
      <c r="N63" s="2">
        <v>1117.0</v>
      </c>
      <c r="O63" s="2">
        <v>1492.0</v>
      </c>
      <c r="P63" s="2">
        <v>1253.0</v>
      </c>
      <c r="Q63" s="2">
        <v>0.0</v>
      </c>
      <c r="R63" s="2">
        <v>11832.0</v>
      </c>
      <c r="S63" s="2">
        <v>8217.0</v>
      </c>
      <c r="T63" s="2">
        <v>3616.0</v>
      </c>
      <c r="U63" s="2">
        <v>8092.0</v>
      </c>
      <c r="V63" s="2">
        <v>125.0</v>
      </c>
      <c r="W63" s="2">
        <v>3740.0</v>
      </c>
    </row>
    <row r="64" ht="15.0" customHeight="1">
      <c r="A64" s="2">
        <v>2024.0</v>
      </c>
      <c r="B64" s="2" t="s">
        <v>23</v>
      </c>
      <c r="C64" s="2">
        <v>8.0</v>
      </c>
      <c r="D64" s="2" t="s">
        <v>24</v>
      </c>
      <c r="E64" s="2" t="s">
        <v>25</v>
      </c>
      <c r="F64" s="2" t="s">
        <v>48</v>
      </c>
      <c r="G64" s="2" t="s">
        <v>41</v>
      </c>
      <c r="H64" s="2" t="s">
        <v>42</v>
      </c>
      <c r="I64" s="2" t="s">
        <v>31</v>
      </c>
      <c r="J64" s="2">
        <v>11016.0</v>
      </c>
      <c r="K64" s="2">
        <v>7987.0</v>
      </c>
      <c r="L64" s="2">
        <v>6862.0</v>
      </c>
      <c r="M64" s="2">
        <v>5405.0</v>
      </c>
      <c r="N64" s="2">
        <v>1801.0</v>
      </c>
      <c r="O64" s="2">
        <v>2373.0</v>
      </c>
      <c r="P64" s="2">
        <v>2031.0</v>
      </c>
      <c r="Q64" s="2">
        <v>0.0</v>
      </c>
      <c r="R64" s="2">
        <v>22454.0</v>
      </c>
      <c r="S64" s="2">
        <v>185.0</v>
      </c>
      <c r="T64" s="2">
        <v>22269.0</v>
      </c>
      <c r="U64" s="2">
        <v>185.0</v>
      </c>
      <c r="V64" s="2">
        <v>0.0</v>
      </c>
      <c r="W64" s="2">
        <v>22269.0</v>
      </c>
    </row>
    <row r="65" ht="15.0" customHeight="1">
      <c r="A65" s="2">
        <v>2024.0</v>
      </c>
      <c r="B65" s="2" t="s">
        <v>23</v>
      </c>
      <c r="C65" s="2">
        <v>8.0</v>
      </c>
      <c r="D65" s="2" t="s">
        <v>24</v>
      </c>
      <c r="E65" s="2" t="s">
        <v>25</v>
      </c>
      <c r="F65" s="2" t="s">
        <v>48</v>
      </c>
      <c r="G65" s="2" t="s">
        <v>43</v>
      </c>
      <c r="H65" s="2" t="s">
        <v>42</v>
      </c>
      <c r="I65" s="2" t="s">
        <v>29</v>
      </c>
      <c r="J65" s="2">
        <v>29035.0</v>
      </c>
      <c r="K65" s="2">
        <v>13430.0</v>
      </c>
      <c r="L65" s="2">
        <v>4065.0</v>
      </c>
      <c r="M65" s="2">
        <v>3810.0</v>
      </c>
      <c r="N65" s="2">
        <v>2489.0</v>
      </c>
      <c r="O65" s="2">
        <v>5209.0</v>
      </c>
      <c r="P65" s="2">
        <v>3770.0</v>
      </c>
      <c r="Q65" s="2">
        <v>1014.0</v>
      </c>
      <c r="R65" s="2">
        <v>122235.0</v>
      </c>
      <c r="S65" s="2">
        <v>98408.0</v>
      </c>
      <c r="T65" s="2">
        <v>23827.0</v>
      </c>
      <c r="U65" s="2">
        <v>92807.0</v>
      </c>
      <c r="V65" s="2">
        <v>5600.0</v>
      </c>
      <c r="W65" s="2">
        <v>29427.0</v>
      </c>
    </row>
    <row r="66" ht="15.0" customHeight="1">
      <c r="A66" s="2">
        <v>2024.0</v>
      </c>
      <c r="B66" s="2" t="s">
        <v>23</v>
      </c>
      <c r="C66" s="2">
        <v>8.0</v>
      </c>
      <c r="D66" s="2" t="s">
        <v>24</v>
      </c>
      <c r="E66" s="2" t="s">
        <v>25</v>
      </c>
      <c r="F66" s="2" t="s">
        <v>48</v>
      </c>
      <c r="G66" s="2" t="s">
        <v>43</v>
      </c>
      <c r="H66" s="2" t="s">
        <v>42</v>
      </c>
      <c r="I66" s="2" t="s">
        <v>30</v>
      </c>
      <c r="J66" s="2">
        <v>7275.0</v>
      </c>
      <c r="K66" s="2">
        <v>2535.0</v>
      </c>
      <c r="L66" s="2">
        <v>706.0</v>
      </c>
      <c r="M66" s="2">
        <v>642.0</v>
      </c>
      <c r="N66" s="2">
        <v>412.0</v>
      </c>
      <c r="O66" s="2">
        <v>973.0</v>
      </c>
      <c r="P66" s="2">
        <v>749.0</v>
      </c>
      <c r="Q66" s="2">
        <v>149.0</v>
      </c>
      <c r="R66" s="2">
        <v>24749.0</v>
      </c>
      <c r="S66" s="2">
        <v>17420.0</v>
      </c>
      <c r="T66" s="2">
        <v>7330.0</v>
      </c>
      <c r="U66" s="2">
        <v>17195.0</v>
      </c>
      <c r="V66" s="2">
        <v>225.0</v>
      </c>
      <c r="W66" s="2">
        <v>7555.0</v>
      </c>
    </row>
    <row r="67" ht="15.0" customHeight="1">
      <c r="A67" s="2">
        <v>2024.0</v>
      </c>
      <c r="B67" s="2" t="s">
        <v>23</v>
      </c>
      <c r="C67" s="2">
        <v>8.0</v>
      </c>
      <c r="D67" s="2" t="s">
        <v>24</v>
      </c>
      <c r="E67" s="2" t="s">
        <v>25</v>
      </c>
      <c r="F67" s="2" t="s">
        <v>48</v>
      </c>
      <c r="G67" s="2" t="s">
        <v>43</v>
      </c>
      <c r="H67" s="2" t="s">
        <v>42</v>
      </c>
      <c r="I67" s="2" t="s">
        <v>31</v>
      </c>
      <c r="J67" s="2">
        <v>842.0</v>
      </c>
      <c r="K67" s="2">
        <v>500.0</v>
      </c>
      <c r="L67" s="2">
        <v>312.0</v>
      </c>
      <c r="M67" s="2">
        <v>261.0</v>
      </c>
      <c r="N67" s="2">
        <v>168.0</v>
      </c>
      <c r="O67" s="2">
        <v>386.0</v>
      </c>
      <c r="P67" s="2">
        <v>288.0</v>
      </c>
      <c r="Q67" s="2">
        <v>70.0</v>
      </c>
      <c r="R67" s="2">
        <v>9884.0</v>
      </c>
      <c r="S67" s="2">
        <v>46.0</v>
      </c>
      <c r="T67" s="2">
        <v>9838.0</v>
      </c>
      <c r="U67" s="2">
        <v>46.0</v>
      </c>
      <c r="V67" s="2">
        <v>0.0</v>
      </c>
      <c r="W67" s="2">
        <v>9838.0</v>
      </c>
    </row>
    <row r="68" ht="15.0" customHeight="1">
      <c r="A68" s="2">
        <v>2024.0</v>
      </c>
      <c r="B68" s="2" t="s">
        <v>23</v>
      </c>
      <c r="C68" s="2">
        <v>8.0</v>
      </c>
      <c r="D68" s="2" t="s">
        <v>24</v>
      </c>
      <c r="E68" s="2" t="s">
        <v>25</v>
      </c>
      <c r="F68" s="2" t="s">
        <v>48</v>
      </c>
      <c r="G68" s="2" t="s">
        <v>44</v>
      </c>
      <c r="H68" s="2" t="s">
        <v>45</v>
      </c>
      <c r="I68" s="2" t="s">
        <v>29</v>
      </c>
      <c r="J68" s="2">
        <v>5159.0</v>
      </c>
      <c r="K68" s="2">
        <v>2413.0</v>
      </c>
      <c r="L68" s="2">
        <v>744.0</v>
      </c>
      <c r="M68" s="2">
        <v>716.0</v>
      </c>
      <c r="N68" s="2">
        <v>592.0</v>
      </c>
      <c r="O68" s="2">
        <v>1066.0</v>
      </c>
      <c r="P68" s="2">
        <v>951.0</v>
      </c>
      <c r="Q68" s="2">
        <v>406.0</v>
      </c>
      <c r="R68" s="2">
        <v>26274.0</v>
      </c>
      <c r="S68" s="2">
        <v>21501.0</v>
      </c>
      <c r="T68" s="2">
        <v>4773.0</v>
      </c>
      <c r="U68" s="2">
        <v>21501.0</v>
      </c>
      <c r="V68" s="2">
        <v>0.0</v>
      </c>
      <c r="W68" s="2">
        <v>4773.0</v>
      </c>
    </row>
    <row r="69" ht="15.0" customHeight="1">
      <c r="A69" s="2">
        <v>2024.0</v>
      </c>
      <c r="B69" s="2" t="s">
        <v>23</v>
      </c>
      <c r="C69" s="2">
        <v>8.0</v>
      </c>
      <c r="D69" s="2" t="s">
        <v>24</v>
      </c>
      <c r="E69" s="2" t="s">
        <v>25</v>
      </c>
      <c r="F69" s="2" t="s">
        <v>48</v>
      </c>
      <c r="G69" s="2" t="s">
        <v>44</v>
      </c>
      <c r="H69" s="2" t="s">
        <v>45</v>
      </c>
      <c r="I69" s="2" t="s">
        <v>30</v>
      </c>
      <c r="J69" s="2">
        <v>5999.0</v>
      </c>
      <c r="K69" s="2">
        <v>2756.0</v>
      </c>
      <c r="L69" s="2">
        <v>720.0</v>
      </c>
      <c r="M69" s="2">
        <v>679.0</v>
      </c>
      <c r="N69" s="2">
        <v>443.0</v>
      </c>
      <c r="O69" s="2">
        <v>682.0</v>
      </c>
      <c r="P69" s="2">
        <v>599.0</v>
      </c>
      <c r="Q69" s="2">
        <v>272.0</v>
      </c>
      <c r="R69" s="2">
        <v>15408.0</v>
      </c>
      <c r="S69" s="2">
        <v>16243.0</v>
      </c>
      <c r="T69" s="2">
        <v>-835.0</v>
      </c>
      <c r="U69" s="2">
        <v>16243.0</v>
      </c>
      <c r="V69" s="2">
        <v>0.0</v>
      </c>
      <c r="W69" s="2">
        <v>-835.0</v>
      </c>
    </row>
    <row r="70" ht="15.0" customHeight="1">
      <c r="A70" s="2">
        <v>2024.0</v>
      </c>
      <c r="B70" s="2" t="s">
        <v>23</v>
      </c>
      <c r="C70" s="2">
        <v>8.0</v>
      </c>
      <c r="D70" s="2" t="s">
        <v>24</v>
      </c>
      <c r="E70" s="2" t="s">
        <v>25</v>
      </c>
      <c r="F70" s="2" t="s">
        <v>48</v>
      </c>
      <c r="G70" s="2" t="s">
        <v>44</v>
      </c>
      <c r="H70" s="2" t="s">
        <v>45</v>
      </c>
      <c r="I70" s="2" t="s">
        <v>31</v>
      </c>
      <c r="J70" s="2">
        <v>496.0</v>
      </c>
      <c r="K70" s="2">
        <v>316.0</v>
      </c>
      <c r="L70" s="2">
        <v>131.0</v>
      </c>
      <c r="M70" s="2">
        <v>98.0</v>
      </c>
      <c r="N70" s="2">
        <v>72.0</v>
      </c>
      <c r="O70" s="2">
        <v>135.0</v>
      </c>
      <c r="P70" s="2">
        <v>118.0</v>
      </c>
      <c r="Q70" s="2">
        <v>37.0</v>
      </c>
      <c r="R70" s="2">
        <v>4233.0</v>
      </c>
      <c r="S70" s="2">
        <v>16.0</v>
      </c>
      <c r="T70" s="2">
        <v>4218.0</v>
      </c>
      <c r="U70" s="2">
        <v>16.0</v>
      </c>
      <c r="V70" s="2">
        <v>0.0</v>
      </c>
      <c r="W70" s="2">
        <v>4218.0</v>
      </c>
    </row>
    <row r="71" ht="15.0" customHeight="1">
      <c r="A71" s="2">
        <v>2024.0</v>
      </c>
      <c r="B71" s="2" t="s">
        <v>23</v>
      </c>
      <c r="C71" s="2">
        <v>8.0</v>
      </c>
      <c r="D71" s="2" t="s">
        <v>24</v>
      </c>
      <c r="E71" s="2" t="s">
        <v>25</v>
      </c>
      <c r="F71" s="2" t="s">
        <v>48</v>
      </c>
      <c r="G71" s="2" t="s">
        <v>46</v>
      </c>
      <c r="H71" s="2" t="s">
        <v>47</v>
      </c>
      <c r="I71" s="2" t="s">
        <v>29</v>
      </c>
      <c r="J71" s="2">
        <v>19585.0</v>
      </c>
      <c r="K71" s="2">
        <v>9364.0</v>
      </c>
      <c r="L71" s="2">
        <v>3351.0</v>
      </c>
      <c r="M71" s="2">
        <v>3167.0</v>
      </c>
      <c r="N71" s="2">
        <v>2865.0</v>
      </c>
      <c r="O71" s="2">
        <v>6470.0</v>
      </c>
      <c r="P71" s="2">
        <v>5386.0</v>
      </c>
      <c r="Q71" s="2">
        <v>2408.0</v>
      </c>
      <c r="R71" s="2">
        <v>165025.0</v>
      </c>
      <c r="S71" s="2">
        <v>135336.0</v>
      </c>
      <c r="T71" s="2">
        <v>29689.0</v>
      </c>
      <c r="U71" s="2">
        <v>135336.0</v>
      </c>
      <c r="V71" s="2">
        <v>0.0</v>
      </c>
      <c r="W71" s="2">
        <v>29689.0</v>
      </c>
    </row>
    <row r="72" ht="15.0" customHeight="1">
      <c r="A72" s="2">
        <v>2024.0</v>
      </c>
      <c r="B72" s="2" t="s">
        <v>23</v>
      </c>
      <c r="C72" s="2">
        <v>8.0</v>
      </c>
      <c r="D72" s="2" t="s">
        <v>24</v>
      </c>
      <c r="E72" s="2" t="s">
        <v>25</v>
      </c>
      <c r="F72" s="2" t="s">
        <v>48</v>
      </c>
      <c r="G72" s="2" t="s">
        <v>46</v>
      </c>
      <c r="H72" s="2" t="s">
        <v>47</v>
      </c>
      <c r="I72" s="2" t="s">
        <v>30</v>
      </c>
      <c r="J72" s="2">
        <v>4705.0</v>
      </c>
      <c r="K72" s="2">
        <v>1320.0</v>
      </c>
      <c r="L72" s="2">
        <v>551.0</v>
      </c>
      <c r="M72" s="2">
        <v>522.0</v>
      </c>
      <c r="N72" s="2">
        <v>477.0</v>
      </c>
      <c r="O72" s="2">
        <v>1133.0</v>
      </c>
      <c r="P72" s="2">
        <v>934.0</v>
      </c>
      <c r="Q72" s="2">
        <v>426.0</v>
      </c>
      <c r="R72" s="2">
        <v>29015.0</v>
      </c>
      <c r="S72" s="2">
        <v>22843.0</v>
      </c>
      <c r="T72" s="2">
        <v>6172.0</v>
      </c>
      <c r="U72" s="2">
        <v>22843.0</v>
      </c>
      <c r="V72" s="2">
        <v>0.0</v>
      </c>
      <c r="W72" s="2">
        <v>6172.0</v>
      </c>
    </row>
    <row r="73" ht="15.0" customHeight="1">
      <c r="A73" s="2">
        <v>2024.0</v>
      </c>
      <c r="B73" s="2" t="s">
        <v>23</v>
      </c>
      <c r="C73" s="2">
        <v>8.0</v>
      </c>
      <c r="D73" s="2" t="s">
        <v>24</v>
      </c>
      <c r="E73" s="2" t="s">
        <v>25</v>
      </c>
      <c r="F73" s="2" t="s">
        <v>48</v>
      </c>
      <c r="G73" s="2" t="s">
        <v>46</v>
      </c>
      <c r="H73" s="2" t="s">
        <v>47</v>
      </c>
      <c r="I73" s="2" t="s">
        <v>31</v>
      </c>
      <c r="J73" s="2">
        <v>2720.0</v>
      </c>
      <c r="K73" s="2">
        <v>742.0</v>
      </c>
      <c r="L73" s="2">
        <v>316.0</v>
      </c>
      <c r="M73" s="2">
        <v>223.0</v>
      </c>
      <c r="N73" s="2">
        <v>212.0</v>
      </c>
      <c r="O73" s="2">
        <v>484.0</v>
      </c>
      <c r="P73" s="2">
        <v>399.0</v>
      </c>
      <c r="Q73" s="2">
        <v>179.0</v>
      </c>
      <c r="R73" s="2">
        <v>13286.0</v>
      </c>
      <c r="S73" s="2">
        <v>27.0</v>
      </c>
      <c r="T73" s="2">
        <v>13259.0</v>
      </c>
      <c r="U73" s="2">
        <v>27.0</v>
      </c>
      <c r="V73" s="2">
        <v>0.0</v>
      </c>
      <c r="W73" s="2">
        <v>13259.0</v>
      </c>
    </row>
    <row r="74" ht="15.0" customHeight="1">
      <c r="A74" s="2">
        <v>2024.0</v>
      </c>
      <c r="B74" s="2" t="s">
        <v>49</v>
      </c>
      <c r="C74" s="2">
        <v>12.0</v>
      </c>
      <c r="D74" s="2" t="s">
        <v>50</v>
      </c>
      <c r="E74" s="2" t="s">
        <v>25</v>
      </c>
      <c r="F74" s="2" t="s">
        <v>26</v>
      </c>
      <c r="G74" s="2" t="s">
        <v>27</v>
      </c>
      <c r="H74" s="2" t="s">
        <v>28</v>
      </c>
      <c r="I74" s="2" t="s">
        <v>29</v>
      </c>
      <c r="J74" s="2">
        <v>3884.0</v>
      </c>
      <c r="K74" s="2">
        <v>2180.0</v>
      </c>
      <c r="L74" s="2">
        <v>622.0</v>
      </c>
      <c r="M74" s="2">
        <v>596.0</v>
      </c>
      <c r="N74" s="2">
        <v>493.0</v>
      </c>
      <c r="O74" s="2">
        <v>996.0</v>
      </c>
      <c r="P74" s="2">
        <v>878.0</v>
      </c>
      <c r="Q74" s="2">
        <v>54.0</v>
      </c>
      <c r="R74" s="2">
        <v>16075.0</v>
      </c>
      <c r="S74" s="2">
        <v>9328.0</v>
      </c>
      <c r="T74" s="2">
        <v>6747.0</v>
      </c>
      <c r="U74" s="2">
        <v>9062.0</v>
      </c>
      <c r="V74" s="2">
        <v>265.0</v>
      </c>
      <c r="W74" s="2">
        <v>7013.0</v>
      </c>
    </row>
    <row r="75" ht="15.0" customHeight="1">
      <c r="A75" s="2">
        <v>2024.0</v>
      </c>
      <c r="B75" s="2" t="s">
        <v>49</v>
      </c>
      <c r="C75" s="2">
        <v>12.0</v>
      </c>
      <c r="D75" s="2" t="s">
        <v>50</v>
      </c>
      <c r="E75" s="2" t="s">
        <v>25</v>
      </c>
      <c r="F75" s="2" t="s">
        <v>26</v>
      </c>
      <c r="G75" s="2" t="s">
        <v>27</v>
      </c>
      <c r="H75" s="2" t="s">
        <v>28</v>
      </c>
      <c r="I75" s="2" t="s">
        <v>30</v>
      </c>
      <c r="J75" s="2">
        <v>1523.0</v>
      </c>
      <c r="K75" s="2">
        <v>595.0</v>
      </c>
      <c r="L75" s="2">
        <v>142.0</v>
      </c>
      <c r="M75" s="2">
        <v>131.0</v>
      </c>
      <c r="N75" s="2">
        <v>110.0</v>
      </c>
      <c r="O75" s="2">
        <v>209.0</v>
      </c>
      <c r="P75" s="2">
        <v>182.0</v>
      </c>
      <c r="Q75" s="2">
        <v>13.0</v>
      </c>
      <c r="R75" s="2">
        <v>3263.0</v>
      </c>
      <c r="S75" s="2">
        <v>1919.0</v>
      </c>
      <c r="T75" s="2">
        <v>1344.0</v>
      </c>
      <c r="U75" s="2">
        <v>1919.0</v>
      </c>
      <c r="V75" s="2">
        <v>0.0</v>
      </c>
      <c r="W75" s="2">
        <v>1344.0</v>
      </c>
    </row>
    <row r="76" ht="15.0" customHeight="1">
      <c r="A76" s="2">
        <v>2024.0</v>
      </c>
      <c r="B76" s="2" t="s">
        <v>49</v>
      </c>
      <c r="C76" s="2">
        <v>12.0</v>
      </c>
      <c r="D76" s="2" t="s">
        <v>50</v>
      </c>
      <c r="E76" s="2" t="s">
        <v>25</v>
      </c>
      <c r="F76" s="2" t="s">
        <v>26</v>
      </c>
      <c r="G76" s="2" t="s">
        <v>27</v>
      </c>
      <c r="H76" s="2" t="s">
        <v>28</v>
      </c>
      <c r="I76" s="2" t="s">
        <v>31</v>
      </c>
      <c r="J76" s="2">
        <v>336.0</v>
      </c>
      <c r="K76" s="2">
        <v>194.0</v>
      </c>
      <c r="L76" s="2">
        <v>135.0</v>
      </c>
      <c r="M76" s="2">
        <v>115.0</v>
      </c>
      <c r="N76" s="2">
        <v>94.0</v>
      </c>
      <c r="O76" s="2">
        <v>194.0</v>
      </c>
      <c r="P76" s="2">
        <v>171.0</v>
      </c>
      <c r="Q76" s="2">
        <v>15.0</v>
      </c>
      <c r="R76" s="2">
        <v>3069.0</v>
      </c>
      <c r="S76" s="2">
        <v>425.0</v>
      </c>
      <c r="T76" s="2">
        <v>2644.0</v>
      </c>
      <c r="U76" s="2">
        <v>425.0</v>
      </c>
      <c r="V76" s="2">
        <v>0.0</v>
      </c>
      <c r="W76" s="2">
        <v>2644.0</v>
      </c>
    </row>
    <row r="77" ht="15.0" customHeight="1">
      <c r="A77" s="2">
        <v>2024.0</v>
      </c>
      <c r="B77" s="2" t="s">
        <v>49</v>
      </c>
      <c r="C77" s="2">
        <v>12.0</v>
      </c>
      <c r="D77" s="2" t="s">
        <v>50</v>
      </c>
      <c r="E77" s="2" t="s">
        <v>25</v>
      </c>
      <c r="F77" s="2" t="s">
        <v>26</v>
      </c>
      <c r="G77" s="2" t="s">
        <v>32</v>
      </c>
      <c r="H77" s="2" t="s">
        <v>28</v>
      </c>
      <c r="I77" s="2" t="s">
        <v>29</v>
      </c>
      <c r="J77" s="2">
        <v>4005.0</v>
      </c>
      <c r="K77" s="2">
        <v>2180.0</v>
      </c>
      <c r="L77" s="2">
        <v>918.0</v>
      </c>
      <c r="M77" s="2">
        <v>879.0</v>
      </c>
      <c r="N77" s="2">
        <v>762.0</v>
      </c>
      <c r="O77" s="2">
        <v>1143.0</v>
      </c>
      <c r="P77" s="2">
        <v>934.0</v>
      </c>
      <c r="Q77" s="2">
        <v>0.0</v>
      </c>
      <c r="R77" s="2">
        <v>7818.0</v>
      </c>
      <c r="S77" s="2">
        <v>5172.0</v>
      </c>
      <c r="T77" s="2">
        <v>2646.0</v>
      </c>
      <c r="U77" s="2">
        <v>5072.0</v>
      </c>
      <c r="V77" s="2">
        <v>100.0</v>
      </c>
      <c r="W77" s="2">
        <v>2746.0</v>
      </c>
    </row>
    <row r="78" ht="15.0" customHeight="1">
      <c r="A78" s="2">
        <v>2024.0</v>
      </c>
      <c r="B78" s="2" t="s">
        <v>49</v>
      </c>
      <c r="C78" s="2">
        <v>12.0</v>
      </c>
      <c r="D78" s="2" t="s">
        <v>50</v>
      </c>
      <c r="E78" s="2" t="s">
        <v>25</v>
      </c>
      <c r="F78" s="2" t="s">
        <v>26</v>
      </c>
      <c r="G78" s="2" t="s">
        <v>32</v>
      </c>
      <c r="H78" s="2" t="s">
        <v>28</v>
      </c>
      <c r="I78" s="2" t="s">
        <v>30</v>
      </c>
      <c r="J78" s="2">
        <v>535.0</v>
      </c>
      <c r="K78" s="2">
        <v>174.0</v>
      </c>
      <c r="L78" s="2">
        <v>64.0</v>
      </c>
      <c r="M78" s="2">
        <v>60.0</v>
      </c>
      <c r="N78" s="2">
        <v>54.0</v>
      </c>
      <c r="O78" s="2">
        <v>90.0</v>
      </c>
      <c r="P78" s="2">
        <v>74.0</v>
      </c>
      <c r="Q78" s="2">
        <v>0.0</v>
      </c>
      <c r="R78" s="2">
        <v>594.0</v>
      </c>
      <c r="S78" s="2">
        <v>186.0</v>
      </c>
      <c r="T78" s="2">
        <v>408.0</v>
      </c>
      <c r="U78" s="2">
        <v>186.0</v>
      </c>
      <c r="V78" s="2">
        <v>0.0</v>
      </c>
      <c r="W78" s="2">
        <v>408.0</v>
      </c>
    </row>
    <row r="79" ht="15.0" customHeight="1">
      <c r="A79" s="2">
        <v>2024.0</v>
      </c>
      <c r="B79" s="2" t="s">
        <v>49</v>
      </c>
      <c r="C79" s="2">
        <v>12.0</v>
      </c>
      <c r="D79" s="2" t="s">
        <v>50</v>
      </c>
      <c r="E79" s="2" t="s">
        <v>25</v>
      </c>
      <c r="F79" s="2" t="s">
        <v>26</v>
      </c>
      <c r="G79" s="2" t="s">
        <v>32</v>
      </c>
      <c r="H79" s="2" t="s">
        <v>28</v>
      </c>
      <c r="I79" s="2" t="s">
        <v>31</v>
      </c>
      <c r="J79" s="2">
        <v>1974.0</v>
      </c>
      <c r="K79" s="2">
        <v>1043.0</v>
      </c>
      <c r="L79" s="2">
        <v>616.0</v>
      </c>
      <c r="M79" s="2">
        <v>580.0</v>
      </c>
      <c r="N79" s="2">
        <v>484.0</v>
      </c>
      <c r="O79" s="2">
        <v>683.0</v>
      </c>
      <c r="P79" s="2">
        <v>554.0</v>
      </c>
      <c r="Q79" s="2">
        <v>0.0</v>
      </c>
      <c r="R79" s="2">
        <v>4511.0</v>
      </c>
      <c r="S79" s="2">
        <v>164.0</v>
      </c>
      <c r="T79" s="2">
        <v>4347.0</v>
      </c>
      <c r="U79" s="2">
        <v>164.0</v>
      </c>
      <c r="V79" s="2">
        <v>0.0</v>
      </c>
      <c r="W79" s="2">
        <v>4347.0</v>
      </c>
    </row>
    <row r="80" ht="15.0" customHeight="1">
      <c r="A80" s="2">
        <v>2024.0</v>
      </c>
      <c r="B80" s="2" t="s">
        <v>49</v>
      </c>
      <c r="C80" s="2">
        <v>12.0</v>
      </c>
      <c r="D80" s="2" t="s">
        <v>50</v>
      </c>
      <c r="E80" s="2" t="s">
        <v>25</v>
      </c>
      <c r="F80" s="2" t="s">
        <v>26</v>
      </c>
      <c r="G80" s="2" t="s">
        <v>33</v>
      </c>
      <c r="H80" s="2" t="s">
        <v>28</v>
      </c>
      <c r="I80" s="2" t="s">
        <v>29</v>
      </c>
      <c r="J80" s="2">
        <v>8120.0</v>
      </c>
      <c r="K80" s="2">
        <v>4649.0</v>
      </c>
      <c r="L80" s="2">
        <v>2103.0</v>
      </c>
      <c r="M80" s="2">
        <v>2028.0</v>
      </c>
      <c r="N80" s="2">
        <v>1303.0</v>
      </c>
      <c r="O80" s="2">
        <v>1671.0</v>
      </c>
      <c r="P80" s="2">
        <v>1480.0</v>
      </c>
      <c r="Q80" s="2">
        <v>512.0</v>
      </c>
      <c r="R80" s="2">
        <v>14602.0</v>
      </c>
      <c r="S80" s="2">
        <v>8190.0</v>
      </c>
      <c r="T80" s="2">
        <v>6411.0</v>
      </c>
      <c r="U80" s="2">
        <v>8161.0</v>
      </c>
      <c r="V80" s="2">
        <v>30.0</v>
      </c>
      <c r="W80" s="2">
        <v>6441.0</v>
      </c>
    </row>
    <row r="81" ht="15.0" customHeight="1">
      <c r="A81" s="2">
        <v>2024.0</v>
      </c>
      <c r="B81" s="2" t="s">
        <v>49</v>
      </c>
      <c r="C81" s="2">
        <v>12.0</v>
      </c>
      <c r="D81" s="2" t="s">
        <v>50</v>
      </c>
      <c r="E81" s="2" t="s">
        <v>25</v>
      </c>
      <c r="F81" s="2" t="s">
        <v>26</v>
      </c>
      <c r="G81" s="2" t="s">
        <v>33</v>
      </c>
      <c r="H81" s="2" t="s">
        <v>28</v>
      </c>
      <c r="I81" s="2" t="s">
        <v>30</v>
      </c>
      <c r="J81" s="2">
        <v>2258.0</v>
      </c>
      <c r="K81" s="2">
        <v>1231.0</v>
      </c>
      <c r="L81" s="2">
        <v>537.0</v>
      </c>
      <c r="M81" s="2">
        <v>512.0</v>
      </c>
      <c r="N81" s="2">
        <v>298.0</v>
      </c>
      <c r="O81" s="2">
        <v>353.0</v>
      </c>
      <c r="P81" s="2">
        <v>316.0</v>
      </c>
      <c r="Q81" s="2">
        <v>66.0</v>
      </c>
      <c r="R81" s="2">
        <v>3005.0</v>
      </c>
      <c r="S81" s="2">
        <v>1515.0</v>
      </c>
      <c r="T81" s="2">
        <v>1490.0</v>
      </c>
      <c r="U81" s="2">
        <v>1515.0</v>
      </c>
      <c r="V81" s="2">
        <v>0.0</v>
      </c>
      <c r="W81" s="2">
        <v>1490.0</v>
      </c>
    </row>
    <row r="82" ht="15.0" customHeight="1">
      <c r="A82" s="2">
        <v>2024.0</v>
      </c>
      <c r="B82" s="2" t="s">
        <v>49</v>
      </c>
      <c r="C82" s="2">
        <v>12.0</v>
      </c>
      <c r="D82" s="2" t="s">
        <v>50</v>
      </c>
      <c r="E82" s="2" t="s">
        <v>25</v>
      </c>
      <c r="F82" s="2" t="s">
        <v>26</v>
      </c>
      <c r="G82" s="2" t="s">
        <v>33</v>
      </c>
      <c r="H82" s="2" t="s">
        <v>28</v>
      </c>
      <c r="I82" s="2" t="s">
        <v>31</v>
      </c>
      <c r="J82" s="2">
        <v>257.0</v>
      </c>
      <c r="K82" s="2">
        <v>134.0</v>
      </c>
      <c r="L82" s="2">
        <v>120.0</v>
      </c>
      <c r="M82" s="2">
        <v>105.0</v>
      </c>
      <c r="N82" s="2">
        <v>57.0</v>
      </c>
      <c r="O82" s="2">
        <v>69.0</v>
      </c>
      <c r="P82" s="2">
        <v>57.0</v>
      </c>
      <c r="Q82" s="2">
        <v>11.0</v>
      </c>
      <c r="R82" s="2">
        <v>579.0</v>
      </c>
      <c r="S82" s="2">
        <v>60.0</v>
      </c>
      <c r="T82" s="2">
        <v>519.0</v>
      </c>
      <c r="U82" s="2">
        <v>60.0</v>
      </c>
      <c r="V82" s="2">
        <v>0.0</v>
      </c>
      <c r="W82" s="2">
        <v>519.0</v>
      </c>
    </row>
    <row r="83" ht="15.0" customHeight="1">
      <c r="A83" s="2">
        <v>2024.0</v>
      </c>
      <c r="B83" s="2" t="s">
        <v>49</v>
      </c>
      <c r="C83" s="2">
        <v>12.0</v>
      </c>
      <c r="D83" s="2" t="s">
        <v>50</v>
      </c>
      <c r="E83" s="2" t="s">
        <v>25</v>
      </c>
      <c r="F83" s="2" t="s">
        <v>26</v>
      </c>
      <c r="G83" s="2" t="s">
        <v>34</v>
      </c>
      <c r="H83" s="2" t="s">
        <v>35</v>
      </c>
      <c r="I83" s="2" t="s">
        <v>29</v>
      </c>
      <c r="J83" s="2">
        <v>6852.0</v>
      </c>
      <c r="K83" s="2">
        <v>4323.0</v>
      </c>
      <c r="L83" s="2">
        <v>2136.0</v>
      </c>
      <c r="M83" s="2">
        <v>2037.0</v>
      </c>
      <c r="N83" s="2">
        <v>977.0</v>
      </c>
      <c r="O83" s="2">
        <v>1275.0</v>
      </c>
      <c r="P83" s="2">
        <v>1008.0</v>
      </c>
      <c r="Q83" s="2">
        <v>115.0</v>
      </c>
      <c r="R83" s="2">
        <v>12850.0</v>
      </c>
      <c r="S83" s="2">
        <v>6842.0</v>
      </c>
      <c r="T83" s="2">
        <v>6008.0</v>
      </c>
      <c r="U83" s="2">
        <v>6558.0</v>
      </c>
      <c r="V83" s="2">
        <v>284.0</v>
      </c>
      <c r="W83" s="2">
        <v>6291.0</v>
      </c>
    </row>
    <row r="84" ht="15.0" customHeight="1">
      <c r="A84" s="2">
        <v>2024.0</v>
      </c>
      <c r="B84" s="2" t="s">
        <v>49</v>
      </c>
      <c r="C84" s="2">
        <v>12.0</v>
      </c>
      <c r="D84" s="2" t="s">
        <v>50</v>
      </c>
      <c r="E84" s="2" t="s">
        <v>25</v>
      </c>
      <c r="F84" s="2" t="s">
        <v>26</v>
      </c>
      <c r="G84" s="2" t="s">
        <v>34</v>
      </c>
      <c r="H84" s="2" t="s">
        <v>35</v>
      </c>
      <c r="I84" s="2" t="s">
        <v>30</v>
      </c>
      <c r="J84" s="2">
        <v>2133.0</v>
      </c>
      <c r="K84" s="2">
        <v>1085.0</v>
      </c>
      <c r="L84" s="2">
        <v>429.0</v>
      </c>
      <c r="M84" s="2">
        <v>408.0</v>
      </c>
      <c r="N84" s="2">
        <v>181.0</v>
      </c>
      <c r="O84" s="2">
        <v>244.0</v>
      </c>
      <c r="P84" s="2">
        <v>187.0</v>
      </c>
      <c r="Q84" s="2">
        <v>15.0</v>
      </c>
      <c r="R84" s="2">
        <v>2521.0</v>
      </c>
      <c r="S84" s="2">
        <v>1086.0</v>
      </c>
      <c r="T84" s="2">
        <v>1435.0</v>
      </c>
      <c r="U84" s="2">
        <v>1086.0</v>
      </c>
      <c r="V84" s="2">
        <v>0.0</v>
      </c>
      <c r="W84" s="2">
        <v>1435.0</v>
      </c>
    </row>
    <row r="85" ht="15.0" customHeight="1">
      <c r="A85" s="2">
        <v>2024.0</v>
      </c>
      <c r="B85" s="2" t="s">
        <v>49</v>
      </c>
      <c r="C85" s="2">
        <v>12.0</v>
      </c>
      <c r="D85" s="2" t="s">
        <v>50</v>
      </c>
      <c r="E85" s="2" t="s">
        <v>25</v>
      </c>
      <c r="F85" s="2" t="s">
        <v>26</v>
      </c>
      <c r="G85" s="2" t="s">
        <v>34</v>
      </c>
      <c r="H85" s="2" t="s">
        <v>35</v>
      </c>
      <c r="I85" s="2" t="s">
        <v>31</v>
      </c>
      <c r="J85" s="2">
        <v>440.0</v>
      </c>
      <c r="K85" s="2">
        <v>274.0</v>
      </c>
      <c r="L85" s="2">
        <v>165.0</v>
      </c>
      <c r="M85" s="2">
        <v>141.0</v>
      </c>
      <c r="N85" s="2">
        <v>65.0</v>
      </c>
      <c r="O85" s="2">
        <v>94.0</v>
      </c>
      <c r="P85" s="2">
        <v>74.0</v>
      </c>
      <c r="Q85" s="2">
        <v>7.0</v>
      </c>
      <c r="R85" s="2">
        <v>878.0</v>
      </c>
      <c r="S85" s="2">
        <v>5.0</v>
      </c>
      <c r="T85" s="2">
        <v>873.0</v>
      </c>
      <c r="U85" s="2">
        <v>5.0</v>
      </c>
      <c r="V85" s="2">
        <v>0.0</v>
      </c>
      <c r="W85" s="2">
        <v>873.0</v>
      </c>
    </row>
    <row r="86" ht="15.0" customHeight="1">
      <c r="A86" s="2">
        <v>2024.0</v>
      </c>
      <c r="B86" s="2" t="s">
        <v>49</v>
      </c>
      <c r="C86" s="2">
        <v>12.0</v>
      </c>
      <c r="D86" s="2" t="s">
        <v>50</v>
      </c>
      <c r="E86" s="2" t="s">
        <v>25</v>
      </c>
      <c r="F86" s="2" t="s">
        <v>26</v>
      </c>
      <c r="G86" s="2" t="s">
        <v>36</v>
      </c>
      <c r="H86" s="2" t="s">
        <v>35</v>
      </c>
      <c r="I86" s="2" t="s">
        <v>29</v>
      </c>
      <c r="J86" s="2">
        <v>3341.0</v>
      </c>
      <c r="K86" s="2">
        <v>2268.0</v>
      </c>
      <c r="L86" s="2">
        <v>1246.0</v>
      </c>
      <c r="M86" s="2">
        <v>1202.0</v>
      </c>
      <c r="N86" s="2">
        <v>683.0</v>
      </c>
      <c r="O86" s="2">
        <v>989.0</v>
      </c>
      <c r="P86" s="2">
        <v>779.0</v>
      </c>
      <c r="Q86" s="2">
        <v>98.0</v>
      </c>
      <c r="R86" s="2">
        <v>8108.0</v>
      </c>
      <c r="S86" s="2">
        <v>3834.0</v>
      </c>
      <c r="T86" s="2">
        <v>4274.0</v>
      </c>
      <c r="U86" s="2">
        <v>3834.0</v>
      </c>
      <c r="V86" s="2">
        <v>0.0</v>
      </c>
      <c r="W86" s="2">
        <v>4274.0</v>
      </c>
    </row>
    <row r="87" ht="15.0" customHeight="1">
      <c r="A87" s="2">
        <v>2024.0</v>
      </c>
      <c r="B87" s="2" t="s">
        <v>49</v>
      </c>
      <c r="C87" s="2">
        <v>12.0</v>
      </c>
      <c r="D87" s="2" t="s">
        <v>50</v>
      </c>
      <c r="E87" s="2" t="s">
        <v>25</v>
      </c>
      <c r="F87" s="2" t="s">
        <v>26</v>
      </c>
      <c r="G87" s="2" t="s">
        <v>36</v>
      </c>
      <c r="H87" s="2" t="s">
        <v>35</v>
      </c>
      <c r="I87" s="2" t="s">
        <v>30</v>
      </c>
      <c r="J87" s="2">
        <v>297.0</v>
      </c>
      <c r="K87" s="2">
        <v>136.0</v>
      </c>
      <c r="L87" s="2">
        <v>80.0</v>
      </c>
      <c r="M87" s="2">
        <v>74.0</v>
      </c>
      <c r="N87" s="2">
        <v>49.0</v>
      </c>
      <c r="O87" s="2">
        <v>64.0</v>
      </c>
      <c r="P87" s="2">
        <v>50.0</v>
      </c>
      <c r="Q87" s="2">
        <v>6.0</v>
      </c>
      <c r="R87" s="2">
        <v>502.0</v>
      </c>
      <c r="S87" s="2">
        <v>126.0</v>
      </c>
      <c r="T87" s="2">
        <v>376.0</v>
      </c>
      <c r="U87" s="2">
        <v>126.0</v>
      </c>
      <c r="V87" s="2">
        <v>0.0</v>
      </c>
      <c r="W87" s="2">
        <v>376.0</v>
      </c>
    </row>
    <row r="88" ht="15.0" customHeight="1">
      <c r="A88" s="2">
        <v>2024.0</v>
      </c>
      <c r="B88" s="2" t="s">
        <v>49</v>
      </c>
      <c r="C88" s="2">
        <v>12.0</v>
      </c>
      <c r="D88" s="2" t="s">
        <v>50</v>
      </c>
      <c r="E88" s="2" t="s">
        <v>25</v>
      </c>
      <c r="F88" s="2" t="s">
        <v>26</v>
      </c>
      <c r="G88" s="2" t="s">
        <v>36</v>
      </c>
      <c r="H88" s="2" t="s">
        <v>35</v>
      </c>
      <c r="I88" s="2" t="s">
        <v>31</v>
      </c>
      <c r="J88" s="2">
        <v>329.0</v>
      </c>
      <c r="K88" s="2">
        <v>219.0</v>
      </c>
      <c r="L88" s="2">
        <v>124.0</v>
      </c>
      <c r="M88" s="2">
        <v>115.0</v>
      </c>
      <c r="N88" s="2">
        <v>54.0</v>
      </c>
      <c r="O88" s="2">
        <v>75.0</v>
      </c>
      <c r="P88" s="2">
        <v>61.0</v>
      </c>
      <c r="Q88" s="2">
        <v>6.0</v>
      </c>
      <c r="R88" s="2">
        <v>671.0</v>
      </c>
      <c r="S88" s="2">
        <v>0.0</v>
      </c>
      <c r="T88" s="2">
        <v>671.0</v>
      </c>
      <c r="U88" s="2">
        <v>0.0</v>
      </c>
      <c r="V88" s="2">
        <v>0.0</v>
      </c>
      <c r="W88" s="2">
        <v>671.0</v>
      </c>
    </row>
    <row r="89" ht="15.0" customHeight="1">
      <c r="A89" s="2">
        <v>2024.0</v>
      </c>
      <c r="B89" s="2" t="s">
        <v>49</v>
      </c>
      <c r="C89" s="2">
        <v>12.0</v>
      </c>
      <c r="D89" s="2" t="s">
        <v>50</v>
      </c>
      <c r="E89" s="2" t="s">
        <v>25</v>
      </c>
      <c r="F89" s="2" t="s">
        <v>26</v>
      </c>
      <c r="G89" s="2" t="s">
        <v>37</v>
      </c>
      <c r="H89" s="2" t="s">
        <v>35</v>
      </c>
      <c r="I89" s="2" t="s">
        <v>29</v>
      </c>
      <c r="J89" s="2">
        <v>624.0</v>
      </c>
      <c r="K89" s="2">
        <v>303.0</v>
      </c>
      <c r="L89" s="2">
        <v>127.0</v>
      </c>
      <c r="M89" s="2">
        <v>117.0</v>
      </c>
      <c r="N89" s="2">
        <v>100.0</v>
      </c>
      <c r="O89" s="2">
        <v>317.0</v>
      </c>
      <c r="P89" s="2">
        <v>254.0</v>
      </c>
      <c r="Q89" s="2">
        <v>0.0</v>
      </c>
      <c r="R89" s="2">
        <v>5654.0</v>
      </c>
      <c r="S89" s="2">
        <v>2671.0</v>
      </c>
      <c r="T89" s="2">
        <v>2984.0</v>
      </c>
      <c r="U89" s="2">
        <v>2671.0</v>
      </c>
      <c r="V89" s="2">
        <v>0.0</v>
      </c>
      <c r="W89" s="2">
        <v>2984.0</v>
      </c>
    </row>
    <row r="90" ht="15.0" customHeight="1">
      <c r="A90" s="2">
        <v>2024.0</v>
      </c>
      <c r="B90" s="2" t="s">
        <v>49</v>
      </c>
      <c r="C90" s="2">
        <v>12.0</v>
      </c>
      <c r="D90" s="2" t="s">
        <v>50</v>
      </c>
      <c r="E90" s="2" t="s">
        <v>25</v>
      </c>
      <c r="F90" s="2" t="s">
        <v>26</v>
      </c>
      <c r="G90" s="2" t="s">
        <v>37</v>
      </c>
      <c r="H90" s="2" t="s">
        <v>35</v>
      </c>
      <c r="I90" s="2" t="s">
        <v>31</v>
      </c>
      <c r="J90" s="2">
        <v>17.0</v>
      </c>
      <c r="K90" s="2">
        <v>13.0</v>
      </c>
      <c r="L90" s="2">
        <v>8.0</v>
      </c>
      <c r="M90" s="2">
        <v>8.0</v>
      </c>
      <c r="N90" s="2">
        <v>7.0</v>
      </c>
      <c r="O90" s="2">
        <v>25.0</v>
      </c>
      <c r="P90" s="2">
        <v>23.0</v>
      </c>
      <c r="Q90" s="2">
        <v>0.0</v>
      </c>
      <c r="R90" s="2">
        <v>477.0</v>
      </c>
      <c r="S90" s="2">
        <v>0.0</v>
      </c>
      <c r="T90" s="2">
        <v>477.0</v>
      </c>
      <c r="U90" s="2">
        <v>0.0</v>
      </c>
      <c r="V90" s="2">
        <v>0.0</v>
      </c>
      <c r="W90" s="2">
        <v>477.0</v>
      </c>
    </row>
    <row r="91" ht="15.0" customHeight="1">
      <c r="A91" s="2">
        <v>2024.0</v>
      </c>
      <c r="B91" s="2" t="s">
        <v>49</v>
      </c>
      <c r="C91" s="2">
        <v>12.0</v>
      </c>
      <c r="D91" s="2" t="s">
        <v>50</v>
      </c>
      <c r="E91" s="2" t="s">
        <v>25</v>
      </c>
      <c r="F91" s="2" t="s">
        <v>26</v>
      </c>
      <c r="G91" s="2" t="s">
        <v>38</v>
      </c>
      <c r="H91" s="2" t="s">
        <v>35</v>
      </c>
      <c r="I91" s="2" t="s">
        <v>29</v>
      </c>
      <c r="J91" s="2">
        <v>1962.0</v>
      </c>
      <c r="K91" s="2">
        <v>1106.0</v>
      </c>
      <c r="L91" s="2">
        <v>583.0</v>
      </c>
      <c r="M91" s="2">
        <v>561.0</v>
      </c>
      <c r="N91" s="2">
        <v>466.0</v>
      </c>
      <c r="O91" s="2">
        <v>809.0</v>
      </c>
      <c r="P91" s="2">
        <v>655.0</v>
      </c>
      <c r="Q91" s="2">
        <v>56.0</v>
      </c>
      <c r="R91" s="2">
        <v>8639.0</v>
      </c>
      <c r="S91" s="2">
        <v>3671.0</v>
      </c>
      <c r="T91" s="2">
        <v>4968.0</v>
      </c>
      <c r="U91" s="2">
        <v>3652.0</v>
      </c>
      <c r="V91" s="2">
        <v>19.0</v>
      </c>
      <c r="W91" s="2">
        <v>4987.0</v>
      </c>
    </row>
    <row r="92" ht="15.0" customHeight="1">
      <c r="A92" s="2">
        <v>2024.0</v>
      </c>
      <c r="B92" s="2" t="s">
        <v>49</v>
      </c>
      <c r="C92" s="2">
        <v>12.0</v>
      </c>
      <c r="D92" s="2" t="s">
        <v>50</v>
      </c>
      <c r="E92" s="2" t="s">
        <v>25</v>
      </c>
      <c r="F92" s="2" t="s">
        <v>26</v>
      </c>
      <c r="G92" s="2" t="s">
        <v>38</v>
      </c>
      <c r="H92" s="2" t="s">
        <v>35</v>
      </c>
      <c r="I92" s="2" t="s">
        <v>30</v>
      </c>
      <c r="J92" s="2">
        <v>1428.0</v>
      </c>
      <c r="K92" s="2">
        <v>557.0</v>
      </c>
      <c r="L92" s="2">
        <v>343.0</v>
      </c>
      <c r="M92" s="2">
        <v>335.0</v>
      </c>
      <c r="N92" s="2">
        <v>267.0</v>
      </c>
      <c r="O92" s="2">
        <v>457.0</v>
      </c>
      <c r="P92" s="2">
        <v>357.0</v>
      </c>
      <c r="Q92" s="2">
        <v>36.0</v>
      </c>
      <c r="R92" s="2">
        <v>4758.0</v>
      </c>
      <c r="S92" s="2">
        <v>3085.0</v>
      </c>
      <c r="T92" s="2">
        <v>1673.0</v>
      </c>
      <c r="U92" s="2">
        <v>3085.0</v>
      </c>
      <c r="V92" s="2">
        <v>0.0</v>
      </c>
      <c r="W92" s="2">
        <v>1673.0</v>
      </c>
    </row>
    <row r="93" ht="15.0" customHeight="1">
      <c r="A93" s="2">
        <v>2024.0</v>
      </c>
      <c r="B93" s="2" t="s">
        <v>49</v>
      </c>
      <c r="C93" s="2">
        <v>12.0</v>
      </c>
      <c r="D93" s="2" t="s">
        <v>50</v>
      </c>
      <c r="E93" s="2" t="s">
        <v>25</v>
      </c>
      <c r="F93" s="2" t="s">
        <v>26</v>
      </c>
      <c r="G93" s="2" t="s">
        <v>38</v>
      </c>
      <c r="H93" s="2" t="s">
        <v>35</v>
      </c>
      <c r="I93" s="2" t="s">
        <v>31</v>
      </c>
      <c r="J93" s="2">
        <v>300.0</v>
      </c>
      <c r="K93" s="2">
        <v>158.0</v>
      </c>
      <c r="L93" s="2">
        <v>95.0</v>
      </c>
      <c r="M93" s="2">
        <v>83.0</v>
      </c>
      <c r="N93" s="2">
        <v>66.0</v>
      </c>
      <c r="O93" s="2">
        <v>120.0</v>
      </c>
      <c r="P93" s="2">
        <v>93.0</v>
      </c>
      <c r="Q93" s="2">
        <v>11.0</v>
      </c>
      <c r="R93" s="2">
        <v>1213.0</v>
      </c>
      <c r="S93" s="2">
        <v>0.0</v>
      </c>
      <c r="T93" s="2">
        <v>1213.0</v>
      </c>
      <c r="U93" s="2">
        <v>0.0</v>
      </c>
      <c r="V93" s="2">
        <v>0.0</v>
      </c>
      <c r="W93" s="2">
        <v>1213.0</v>
      </c>
    </row>
    <row r="94" ht="15.0" customHeight="1">
      <c r="A94" s="2">
        <v>2024.0</v>
      </c>
      <c r="B94" s="2" t="s">
        <v>49</v>
      </c>
      <c r="C94" s="2">
        <v>12.0</v>
      </c>
      <c r="D94" s="2" t="s">
        <v>50</v>
      </c>
      <c r="E94" s="2" t="s">
        <v>25</v>
      </c>
      <c r="F94" s="2" t="s">
        <v>26</v>
      </c>
      <c r="G94" s="2" t="s">
        <v>39</v>
      </c>
      <c r="H94" s="2" t="s">
        <v>40</v>
      </c>
      <c r="I94" s="2" t="s">
        <v>29</v>
      </c>
      <c r="J94" s="2">
        <v>7707.0</v>
      </c>
      <c r="K94" s="2">
        <v>4992.0</v>
      </c>
      <c r="L94" s="2">
        <v>2832.0</v>
      </c>
      <c r="M94" s="2">
        <v>2665.0</v>
      </c>
      <c r="N94" s="2">
        <v>1051.0</v>
      </c>
      <c r="O94" s="2">
        <v>1270.0</v>
      </c>
      <c r="P94" s="2">
        <v>884.0</v>
      </c>
      <c r="Q94" s="2">
        <v>0.0</v>
      </c>
      <c r="R94" s="2">
        <v>11371.0</v>
      </c>
      <c r="S94" s="2">
        <v>5733.0</v>
      </c>
      <c r="T94" s="2">
        <v>5637.0</v>
      </c>
      <c r="U94" s="2">
        <v>5733.0</v>
      </c>
      <c r="V94" s="2">
        <v>0.0</v>
      </c>
      <c r="W94" s="2">
        <v>5637.0</v>
      </c>
    </row>
    <row r="95" ht="15.0" customHeight="1">
      <c r="A95" s="2">
        <v>2024.0</v>
      </c>
      <c r="B95" s="2" t="s">
        <v>49</v>
      </c>
      <c r="C95" s="2">
        <v>12.0</v>
      </c>
      <c r="D95" s="2" t="s">
        <v>50</v>
      </c>
      <c r="E95" s="2" t="s">
        <v>25</v>
      </c>
      <c r="F95" s="2" t="s">
        <v>26</v>
      </c>
      <c r="G95" s="2" t="s">
        <v>39</v>
      </c>
      <c r="H95" s="2" t="s">
        <v>40</v>
      </c>
      <c r="I95" s="2" t="s">
        <v>30</v>
      </c>
      <c r="J95" s="2">
        <v>938.0</v>
      </c>
      <c r="K95" s="2">
        <v>495.0</v>
      </c>
      <c r="L95" s="2">
        <v>236.0</v>
      </c>
      <c r="M95" s="2">
        <v>219.0</v>
      </c>
      <c r="N95" s="2">
        <v>98.0</v>
      </c>
      <c r="O95" s="2">
        <v>110.0</v>
      </c>
      <c r="P95" s="2">
        <v>73.0</v>
      </c>
      <c r="Q95" s="2">
        <v>0.0</v>
      </c>
      <c r="R95" s="2">
        <v>988.0</v>
      </c>
      <c r="S95" s="2">
        <v>379.0</v>
      </c>
      <c r="T95" s="2">
        <v>609.0</v>
      </c>
      <c r="U95" s="2">
        <v>379.0</v>
      </c>
      <c r="V95" s="2">
        <v>0.0</v>
      </c>
      <c r="W95" s="2">
        <v>609.0</v>
      </c>
    </row>
    <row r="96" ht="15.0" customHeight="1">
      <c r="A96" s="2">
        <v>2024.0</v>
      </c>
      <c r="B96" s="2" t="s">
        <v>49</v>
      </c>
      <c r="C96" s="2">
        <v>12.0</v>
      </c>
      <c r="D96" s="2" t="s">
        <v>50</v>
      </c>
      <c r="E96" s="2" t="s">
        <v>25</v>
      </c>
      <c r="F96" s="2" t="s">
        <v>26</v>
      </c>
      <c r="G96" s="2" t="s">
        <v>39</v>
      </c>
      <c r="H96" s="2" t="s">
        <v>40</v>
      </c>
      <c r="I96" s="2" t="s">
        <v>31</v>
      </c>
      <c r="J96" s="2">
        <v>3504.0</v>
      </c>
      <c r="K96" s="2">
        <v>1480.0</v>
      </c>
      <c r="L96" s="2">
        <v>737.0</v>
      </c>
      <c r="M96" s="2">
        <v>653.0</v>
      </c>
      <c r="N96" s="2">
        <v>248.0</v>
      </c>
      <c r="O96" s="2">
        <v>320.0</v>
      </c>
      <c r="P96" s="2">
        <v>218.0</v>
      </c>
      <c r="Q96" s="2">
        <v>0.0</v>
      </c>
      <c r="R96" s="2">
        <v>2783.0</v>
      </c>
      <c r="S96" s="2">
        <v>0.0</v>
      </c>
      <c r="T96" s="2">
        <v>2783.0</v>
      </c>
      <c r="U96" s="2">
        <v>0.0</v>
      </c>
      <c r="V96" s="2">
        <v>0.0</v>
      </c>
      <c r="W96" s="2">
        <v>2783.0</v>
      </c>
    </row>
    <row r="97" ht="15.0" customHeight="1">
      <c r="A97" s="2">
        <v>2024.0</v>
      </c>
      <c r="B97" s="2" t="s">
        <v>49</v>
      </c>
      <c r="C97" s="2">
        <v>12.0</v>
      </c>
      <c r="D97" s="2" t="s">
        <v>50</v>
      </c>
      <c r="E97" s="2" t="s">
        <v>25</v>
      </c>
      <c r="F97" s="2" t="s">
        <v>26</v>
      </c>
      <c r="G97" s="2" t="s">
        <v>41</v>
      </c>
      <c r="H97" s="2" t="s">
        <v>42</v>
      </c>
      <c r="I97" s="2" t="s">
        <v>29</v>
      </c>
      <c r="J97" s="2">
        <v>17085.0</v>
      </c>
      <c r="K97" s="2">
        <v>10340.0</v>
      </c>
      <c r="L97" s="2">
        <v>5406.0</v>
      </c>
      <c r="M97" s="2">
        <v>5147.0</v>
      </c>
      <c r="N97" s="2">
        <v>2965.0</v>
      </c>
      <c r="O97" s="2">
        <v>3670.0</v>
      </c>
      <c r="P97" s="2">
        <v>2974.0</v>
      </c>
      <c r="Q97" s="2">
        <v>188.0</v>
      </c>
      <c r="R97" s="2">
        <v>22908.0</v>
      </c>
      <c r="S97" s="2">
        <v>12675.0</v>
      </c>
      <c r="T97" s="2">
        <v>10233.0</v>
      </c>
      <c r="U97" s="2">
        <v>12460.0</v>
      </c>
      <c r="V97" s="2">
        <v>215.0</v>
      </c>
      <c r="W97" s="2">
        <v>10448.0</v>
      </c>
    </row>
    <row r="98" ht="15.0" customHeight="1">
      <c r="A98" s="2">
        <v>2024.0</v>
      </c>
      <c r="B98" s="2" t="s">
        <v>49</v>
      </c>
      <c r="C98" s="2">
        <v>12.0</v>
      </c>
      <c r="D98" s="2" t="s">
        <v>50</v>
      </c>
      <c r="E98" s="2" t="s">
        <v>25</v>
      </c>
      <c r="F98" s="2" t="s">
        <v>26</v>
      </c>
      <c r="G98" s="2" t="s">
        <v>41</v>
      </c>
      <c r="H98" s="2" t="s">
        <v>42</v>
      </c>
      <c r="I98" s="2" t="s">
        <v>30</v>
      </c>
      <c r="J98" s="2">
        <v>5476.0</v>
      </c>
      <c r="K98" s="2">
        <v>2747.0</v>
      </c>
      <c r="L98" s="2">
        <v>1472.0</v>
      </c>
      <c r="M98" s="2">
        <v>1403.0</v>
      </c>
      <c r="N98" s="2">
        <v>776.0</v>
      </c>
      <c r="O98" s="2">
        <v>982.0</v>
      </c>
      <c r="P98" s="2">
        <v>789.0</v>
      </c>
      <c r="Q98" s="2">
        <v>37.0</v>
      </c>
      <c r="R98" s="2">
        <v>5969.0</v>
      </c>
      <c r="S98" s="2">
        <v>4407.0</v>
      </c>
      <c r="T98" s="2">
        <v>1563.0</v>
      </c>
      <c r="U98" s="2">
        <v>4407.0</v>
      </c>
      <c r="V98" s="2">
        <v>0.0</v>
      </c>
      <c r="W98" s="2">
        <v>1563.0</v>
      </c>
    </row>
    <row r="99" ht="15.0" customHeight="1">
      <c r="A99" s="2">
        <v>2024.0</v>
      </c>
      <c r="B99" s="2" t="s">
        <v>49</v>
      </c>
      <c r="C99" s="2">
        <v>12.0</v>
      </c>
      <c r="D99" s="2" t="s">
        <v>50</v>
      </c>
      <c r="E99" s="2" t="s">
        <v>25</v>
      </c>
      <c r="F99" s="2" t="s">
        <v>26</v>
      </c>
      <c r="G99" s="2" t="s">
        <v>41</v>
      </c>
      <c r="H99" s="2" t="s">
        <v>42</v>
      </c>
      <c r="I99" s="2" t="s">
        <v>31</v>
      </c>
      <c r="J99" s="2">
        <v>8122.0</v>
      </c>
      <c r="K99" s="2">
        <v>4611.0</v>
      </c>
      <c r="L99" s="2">
        <v>3616.0</v>
      </c>
      <c r="M99" s="2">
        <v>3283.0</v>
      </c>
      <c r="N99" s="2">
        <v>1791.0</v>
      </c>
      <c r="O99" s="2">
        <v>2200.0</v>
      </c>
      <c r="P99" s="2">
        <v>1755.0</v>
      </c>
      <c r="Q99" s="2">
        <v>112.0</v>
      </c>
      <c r="R99" s="2">
        <v>13534.0</v>
      </c>
      <c r="S99" s="2">
        <v>224.0</v>
      </c>
      <c r="T99" s="2">
        <v>13310.0</v>
      </c>
      <c r="U99" s="2">
        <v>224.0</v>
      </c>
      <c r="V99" s="2">
        <v>0.0</v>
      </c>
      <c r="W99" s="2">
        <v>13310.0</v>
      </c>
    </row>
    <row r="100" ht="15.0" customHeight="1">
      <c r="A100" s="2">
        <v>2024.0</v>
      </c>
      <c r="B100" s="2" t="s">
        <v>49</v>
      </c>
      <c r="C100" s="2">
        <v>12.0</v>
      </c>
      <c r="D100" s="2" t="s">
        <v>50</v>
      </c>
      <c r="E100" s="2" t="s">
        <v>25</v>
      </c>
      <c r="F100" s="2" t="s">
        <v>26</v>
      </c>
      <c r="G100" s="2" t="s">
        <v>43</v>
      </c>
      <c r="H100" s="2" t="s">
        <v>42</v>
      </c>
      <c r="I100" s="2" t="s">
        <v>29</v>
      </c>
      <c r="J100" s="2">
        <v>3525.0</v>
      </c>
      <c r="K100" s="2">
        <v>1665.0</v>
      </c>
      <c r="L100" s="2">
        <v>974.0</v>
      </c>
      <c r="M100" s="2">
        <v>907.0</v>
      </c>
      <c r="N100" s="2">
        <v>295.0</v>
      </c>
      <c r="O100" s="2">
        <v>610.0</v>
      </c>
      <c r="P100" s="2">
        <v>437.0</v>
      </c>
      <c r="Q100" s="2">
        <v>1.0</v>
      </c>
      <c r="R100" s="2">
        <v>12761.0</v>
      </c>
      <c r="S100" s="2">
        <v>6551.0</v>
      </c>
      <c r="T100" s="2">
        <v>6211.0</v>
      </c>
      <c r="U100" s="2">
        <v>6229.0</v>
      </c>
      <c r="V100" s="2">
        <v>321.0</v>
      </c>
      <c r="W100" s="2">
        <v>6532.0</v>
      </c>
    </row>
    <row r="101" ht="15.0" customHeight="1">
      <c r="A101" s="2">
        <v>2024.0</v>
      </c>
      <c r="B101" s="2" t="s">
        <v>49</v>
      </c>
      <c r="C101" s="2">
        <v>12.0</v>
      </c>
      <c r="D101" s="2" t="s">
        <v>50</v>
      </c>
      <c r="E101" s="2" t="s">
        <v>25</v>
      </c>
      <c r="F101" s="2" t="s">
        <v>26</v>
      </c>
      <c r="G101" s="2" t="s">
        <v>43</v>
      </c>
      <c r="H101" s="2" t="s">
        <v>42</v>
      </c>
      <c r="I101" s="2" t="s">
        <v>30</v>
      </c>
      <c r="J101" s="2">
        <v>628.0</v>
      </c>
      <c r="K101" s="2">
        <v>202.0</v>
      </c>
      <c r="L101" s="2">
        <v>92.0</v>
      </c>
      <c r="M101" s="2">
        <v>87.0</v>
      </c>
      <c r="N101" s="2">
        <v>22.0</v>
      </c>
      <c r="O101" s="2">
        <v>65.0</v>
      </c>
      <c r="P101" s="2">
        <v>49.0</v>
      </c>
      <c r="Q101" s="2">
        <v>0.0</v>
      </c>
      <c r="R101" s="2">
        <v>1743.0</v>
      </c>
      <c r="S101" s="2">
        <v>1303.0</v>
      </c>
      <c r="T101" s="2">
        <v>440.0</v>
      </c>
      <c r="U101" s="2">
        <v>1303.0</v>
      </c>
      <c r="V101" s="2">
        <v>0.0</v>
      </c>
      <c r="W101" s="2">
        <v>440.0</v>
      </c>
    </row>
    <row r="102" ht="15.0" customHeight="1">
      <c r="A102" s="2">
        <v>2024.0</v>
      </c>
      <c r="B102" s="2" t="s">
        <v>49</v>
      </c>
      <c r="C102" s="2">
        <v>12.0</v>
      </c>
      <c r="D102" s="2" t="s">
        <v>50</v>
      </c>
      <c r="E102" s="2" t="s">
        <v>25</v>
      </c>
      <c r="F102" s="2" t="s">
        <v>26</v>
      </c>
      <c r="G102" s="2" t="s">
        <v>43</v>
      </c>
      <c r="H102" s="2" t="s">
        <v>42</v>
      </c>
      <c r="I102" s="2" t="s">
        <v>31</v>
      </c>
      <c r="J102" s="2">
        <v>197.0</v>
      </c>
      <c r="K102" s="2">
        <v>122.0</v>
      </c>
      <c r="L102" s="2">
        <v>83.0</v>
      </c>
      <c r="M102" s="2">
        <v>69.0</v>
      </c>
      <c r="N102" s="2">
        <v>23.0</v>
      </c>
      <c r="O102" s="2">
        <v>43.0</v>
      </c>
      <c r="P102" s="2">
        <v>29.0</v>
      </c>
      <c r="Q102" s="2">
        <v>0.0</v>
      </c>
      <c r="R102" s="2">
        <v>964.0</v>
      </c>
      <c r="S102" s="2">
        <v>0.0</v>
      </c>
      <c r="T102" s="2">
        <v>964.0</v>
      </c>
      <c r="U102" s="2">
        <v>0.0</v>
      </c>
      <c r="V102" s="2">
        <v>0.0</v>
      </c>
      <c r="W102" s="2">
        <v>964.0</v>
      </c>
    </row>
    <row r="103" ht="15.0" customHeight="1">
      <c r="A103" s="2">
        <v>2024.0</v>
      </c>
      <c r="B103" s="2" t="s">
        <v>49</v>
      </c>
      <c r="C103" s="2">
        <v>12.0</v>
      </c>
      <c r="D103" s="2" t="s">
        <v>50</v>
      </c>
      <c r="E103" s="2" t="s">
        <v>25</v>
      </c>
      <c r="F103" s="2" t="s">
        <v>26</v>
      </c>
      <c r="G103" s="2" t="s">
        <v>44</v>
      </c>
      <c r="H103" s="2" t="s">
        <v>45</v>
      </c>
      <c r="I103" s="2" t="s">
        <v>29</v>
      </c>
      <c r="J103" s="2">
        <v>4415.0</v>
      </c>
      <c r="K103" s="2">
        <v>2497.0</v>
      </c>
      <c r="L103" s="2">
        <v>847.0</v>
      </c>
      <c r="M103" s="2">
        <v>811.0</v>
      </c>
      <c r="N103" s="2">
        <v>726.0</v>
      </c>
      <c r="O103" s="2">
        <v>1457.0</v>
      </c>
      <c r="P103" s="2">
        <v>1246.0</v>
      </c>
      <c r="Q103" s="2">
        <v>676.0</v>
      </c>
      <c r="R103" s="2">
        <v>38996.0</v>
      </c>
      <c r="S103" s="2">
        <v>21619.0</v>
      </c>
      <c r="T103" s="2">
        <v>17378.0</v>
      </c>
      <c r="U103" s="2">
        <v>21509.0</v>
      </c>
      <c r="V103" s="2">
        <v>110.0</v>
      </c>
      <c r="W103" s="2">
        <v>17487.0</v>
      </c>
    </row>
    <row r="104" ht="15.0" customHeight="1">
      <c r="A104" s="2">
        <v>2024.0</v>
      </c>
      <c r="B104" s="2" t="s">
        <v>49</v>
      </c>
      <c r="C104" s="2">
        <v>12.0</v>
      </c>
      <c r="D104" s="2" t="s">
        <v>50</v>
      </c>
      <c r="E104" s="2" t="s">
        <v>25</v>
      </c>
      <c r="F104" s="2" t="s">
        <v>26</v>
      </c>
      <c r="G104" s="2" t="s">
        <v>44</v>
      </c>
      <c r="H104" s="2" t="s">
        <v>45</v>
      </c>
      <c r="I104" s="2" t="s">
        <v>30</v>
      </c>
      <c r="J104" s="2">
        <v>2158.0</v>
      </c>
      <c r="K104" s="2">
        <v>935.0</v>
      </c>
      <c r="L104" s="2">
        <v>266.0</v>
      </c>
      <c r="M104" s="2">
        <v>247.0</v>
      </c>
      <c r="N104" s="2">
        <v>209.0</v>
      </c>
      <c r="O104" s="2">
        <v>446.0</v>
      </c>
      <c r="P104" s="2">
        <v>380.0</v>
      </c>
      <c r="Q104" s="2">
        <v>204.0</v>
      </c>
      <c r="R104" s="2">
        <v>11557.0</v>
      </c>
      <c r="S104" s="2">
        <v>6457.0</v>
      </c>
      <c r="T104" s="2">
        <v>5101.0</v>
      </c>
      <c r="U104" s="2">
        <v>6457.0</v>
      </c>
      <c r="V104" s="2">
        <v>0.0</v>
      </c>
      <c r="W104" s="2">
        <v>5101.0</v>
      </c>
    </row>
    <row r="105" ht="15.0" customHeight="1">
      <c r="A105" s="2">
        <v>2024.0</v>
      </c>
      <c r="B105" s="2" t="s">
        <v>49</v>
      </c>
      <c r="C105" s="2">
        <v>12.0</v>
      </c>
      <c r="D105" s="2" t="s">
        <v>50</v>
      </c>
      <c r="E105" s="2" t="s">
        <v>25</v>
      </c>
      <c r="F105" s="2" t="s">
        <v>26</v>
      </c>
      <c r="G105" s="2" t="s">
        <v>44</v>
      </c>
      <c r="H105" s="2" t="s">
        <v>45</v>
      </c>
      <c r="I105" s="2" t="s">
        <v>31</v>
      </c>
      <c r="J105" s="2">
        <v>568.0</v>
      </c>
      <c r="K105" s="2">
        <v>325.0</v>
      </c>
      <c r="L105" s="2">
        <v>112.0</v>
      </c>
      <c r="M105" s="2">
        <v>96.0</v>
      </c>
      <c r="N105" s="2">
        <v>86.0</v>
      </c>
      <c r="O105" s="2">
        <v>188.0</v>
      </c>
      <c r="P105" s="2">
        <v>159.0</v>
      </c>
      <c r="Q105" s="2">
        <v>84.0</v>
      </c>
      <c r="R105" s="2">
        <v>5390.0</v>
      </c>
      <c r="S105" s="2">
        <v>60.0</v>
      </c>
      <c r="T105" s="2">
        <v>5330.0</v>
      </c>
      <c r="U105" s="2">
        <v>60.0</v>
      </c>
      <c r="V105" s="2">
        <v>0.0</v>
      </c>
      <c r="W105" s="2">
        <v>5330.0</v>
      </c>
    </row>
    <row r="106" ht="15.0" customHeight="1">
      <c r="A106" s="2">
        <v>2024.0</v>
      </c>
      <c r="B106" s="2" t="s">
        <v>49</v>
      </c>
      <c r="C106" s="2">
        <v>12.0</v>
      </c>
      <c r="D106" s="2" t="s">
        <v>50</v>
      </c>
      <c r="E106" s="2" t="s">
        <v>25</v>
      </c>
      <c r="F106" s="2" t="s">
        <v>26</v>
      </c>
      <c r="G106" s="2" t="s">
        <v>46</v>
      </c>
      <c r="H106" s="2" t="s">
        <v>47</v>
      </c>
      <c r="I106" s="2" t="s">
        <v>29</v>
      </c>
      <c r="J106" s="2">
        <v>3947.0</v>
      </c>
      <c r="K106" s="2">
        <v>2105.0</v>
      </c>
      <c r="L106" s="2">
        <v>817.0</v>
      </c>
      <c r="M106" s="2">
        <v>777.0</v>
      </c>
      <c r="N106" s="2">
        <v>746.0</v>
      </c>
      <c r="O106" s="2">
        <v>1501.0</v>
      </c>
      <c r="P106" s="2">
        <v>861.0</v>
      </c>
      <c r="Q106" s="2">
        <v>162.0</v>
      </c>
      <c r="R106" s="2">
        <v>28126.0</v>
      </c>
      <c r="S106" s="2">
        <v>17485.0</v>
      </c>
      <c r="T106" s="2">
        <v>10641.0</v>
      </c>
      <c r="U106" s="2">
        <v>17485.0</v>
      </c>
      <c r="V106" s="2">
        <v>0.0</v>
      </c>
      <c r="W106" s="2">
        <v>10641.0</v>
      </c>
    </row>
    <row r="107" ht="15.0" customHeight="1">
      <c r="A107" s="2">
        <v>2024.0</v>
      </c>
      <c r="B107" s="2" t="s">
        <v>49</v>
      </c>
      <c r="C107" s="2">
        <v>12.0</v>
      </c>
      <c r="D107" s="2" t="s">
        <v>50</v>
      </c>
      <c r="E107" s="2" t="s">
        <v>25</v>
      </c>
      <c r="F107" s="2" t="s">
        <v>26</v>
      </c>
      <c r="G107" s="2" t="s">
        <v>46</v>
      </c>
      <c r="H107" s="2" t="s">
        <v>47</v>
      </c>
      <c r="I107" s="2" t="s">
        <v>30</v>
      </c>
      <c r="J107" s="2">
        <v>984.0</v>
      </c>
      <c r="K107" s="2">
        <v>339.0</v>
      </c>
      <c r="L107" s="2">
        <v>123.0</v>
      </c>
      <c r="M107" s="2">
        <v>115.0</v>
      </c>
      <c r="N107" s="2">
        <v>108.0</v>
      </c>
      <c r="O107" s="2">
        <v>214.0</v>
      </c>
      <c r="P107" s="2">
        <v>123.0</v>
      </c>
      <c r="Q107" s="2">
        <v>35.0</v>
      </c>
      <c r="R107" s="2">
        <v>5081.0</v>
      </c>
      <c r="S107" s="2">
        <v>3180.0</v>
      </c>
      <c r="T107" s="2">
        <v>1901.0</v>
      </c>
      <c r="U107" s="2">
        <v>3180.0</v>
      </c>
      <c r="V107" s="2">
        <v>0.0</v>
      </c>
      <c r="W107" s="2">
        <v>1901.0</v>
      </c>
    </row>
    <row r="108" ht="15.0" customHeight="1">
      <c r="A108" s="2">
        <v>2024.0</v>
      </c>
      <c r="B108" s="2" t="s">
        <v>49</v>
      </c>
      <c r="C108" s="2">
        <v>12.0</v>
      </c>
      <c r="D108" s="2" t="s">
        <v>50</v>
      </c>
      <c r="E108" s="2" t="s">
        <v>25</v>
      </c>
      <c r="F108" s="2" t="s">
        <v>26</v>
      </c>
      <c r="G108" s="2" t="s">
        <v>46</v>
      </c>
      <c r="H108" s="2" t="s">
        <v>47</v>
      </c>
      <c r="I108" s="2" t="s">
        <v>31</v>
      </c>
      <c r="J108" s="2">
        <v>996.0</v>
      </c>
      <c r="K108" s="2">
        <v>533.0</v>
      </c>
      <c r="L108" s="2">
        <v>150.0</v>
      </c>
      <c r="M108" s="2">
        <v>110.0</v>
      </c>
      <c r="N108" s="2">
        <v>99.0</v>
      </c>
      <c r="O108" s="2">
        <v>221.0</v>
      </c>
      <c r="P108" s="2">
        <v>125.0</v>
      </c>
      <c r="Q108" s="2">
        <v>34.0</v>
      </c>
      <c r="R108" s="2">
        <v>5437.0</v>
      </c>
      <c r="S108" s="2">
        <v>420.0</v>
      </c>
      <c r="T108" s="2">
        <v>5017.0</v>
      </c>
      <c r="U108" s="2">
        <v>420.0</v>
      </c>
      <c r="V108" s="2">
        <v>0.0</v>
      </c>
      <c r="W108" s="2">
        <v>5017.0</v>
      </c>
    </row>
    <row r="109" ht="15.0" customHeight="1">
      <c r="A109" s="2">
        <v>2024.0</v>
      </c>
      <c r="B109" s="2" t="s">
        <v>49</v>
      </c>
      <c r="C109" s="2">
        <v>12.0</v>
      </c>
      <c r="D109" s="2" t="s">
        <v>50</v>
      </c>
      <c r="E109" s="2" t="s">
        <v>25</v>
      </c>
      <c r="F109" s="2" t="s">
        <v>48</v>
      </c>
      <c r="G109" s="2" t="s">
        <v>27</v>
      </c>
      <c r="H109" s="2" t="s">
        <v>28</v>
      </c>
      <c r="I109" s="2" t="s">
        <v>29</v>
      </c>
      <c r="J109" s="2">
        <v>5143.0</v>
      </c>
      <c r="K109" s="2">
        <v>2650.0</v>
      </c>
      <c r="L109" s="2">
        <v>984.0</v>
      </c>
      <c r="M109" s="2">
        <v>945.0</v>
      </c>
      <c r="N109" s="2">
        <v>650.0</v>
      </c>
      <c r="O109" s="2">
        <v>1098.0</v>
      </c>
      <c r="P109" s="2">
        <v>856.0</v>
      </c>
      <c r="Q109" s="2">
        <v>0.0</v>
      </c>
      <c r="R109" s="2">
        <v>25080.0</v>
      </c>
      <c r="S109" s="2">
        <v>16349.0</v>
      </c>
      <c r="T109" s="2">
        <v>8731.0</v>
      </c>
      <c r="U109" s="2">
        <v>16349.0</v>
      </c>
      <c r="V109" s="2">
        <v>0.0</v>
      </c>
      <c r="W109" s="2">
        <v>8731.0</v>
      </c>
    </row>
    <row r="110" ht="15.0" customHeight="1">
      <c r="A110" s="2">
        <v>2024.0</v>
      </c>
      <c r="B110" s="2" t="s">
        <v>49</v>
      </c>
      <c r="C110" s="2">
        <v>12.0</v>
      </c>
      <c r="D110" s="2" t="s">
        <v>50</v>
      </c>
      <c r="E110" s="2" t="s">
        <v>25</v>
      </c>
      <c r="F110" s="2" t="s">
        <v>48</v>
      </c>
      <c r="G110" s="2" t="s">
        <v>27</v>
      </c>
      <c r="H110" s="2" t="s">
        <v>28</v>
      </c>
      <c r="I110" s="2" t="s">
        <v>30</v>
      </c>
      <c r="J110" s="2">
        <v>2260.0</v>
      </c>
      <c r="K110" s="2">
        <v>732.0</v>
      </c>
      <c r="L110" s="2">
        <v>219.0</v>
      </c>
      <c r="M110" s="2">
        <v>205.0</v>
      </c>
      <c r="N110" s="2">
        <v>139.0</v>
      </c>
      <c r="O110" s="2">
        <v>217.0</v>
      </c>
      <c r="P110" s="2">
        <v>175.0</v>
      </c>
      <c r="Q110" s="2">
        <v>0.0</v>
      </c>
      <c r="R110" s="2">
        <v>5300.0</v>
      </c>
      <c r="S110" s="2">
        <v>3024.0</v>
      </c>
      <c r="T110" s="2">
        <v>2276.0</v>
      </c>
      <c r="U110" s="2">
        <v>3024.0</v>
      </c>
      <c r="V110" s="2">
        <v>0.0</v>
      </c>
      <c r="W110" s="2">
        <v>2276.0</v>
      </c>
    </row>
    <row r="111" ht="15.0" customHeight="1">
      <c r="A111" s="2">
        <v>2024.0</v>
      </c>
      <c r="B111" s="2" t="s">
        <v>49</v>
      </c>
      <c r="C111" s="2">
        <v>12.0</v>
      </c>
      <c r="D111" s="2" t="s">
        <v>50</v>
      </c>
      <c r="E111" s="2" t="s">
        <v>25</v>
      </c>
      <c r="F111" s="2" t="s">
        <v>48</v>
      </c>
      <c r="G111" s="2" t="s">
        <v>27</v>
      </c>
      <c r="H111" s="2" t="s">
        <v>28</v>
      </c>
      <c r="I111" s="2" t="s">
        <v>31</v>
      </c>
      <c r="J111" s="2">
        <v>87.0</v>
      </c>
      <c r="K111" s="2">
        <v>63.0</v>
      </c>
      <c r="L111" s="2">
        <v>44.0</v>
      </c>
      <c r="M111" s="2">
        <v>38.0</v>
      </c>
      <c r="N111" s="2">
        <v>26.0</v>
      </c>
      <c r="O111" s="2">
        <v>39.0</v>
      </c>
      <c r="P111" s="2">
        <v>34.0</v>
      </c>
      <c r="Q111" s="2">
        <v>0.0</v>
      </c>
      <c r="R111" s="2">
        <v>1153.0</v>
      </c>
      <c r="S111" s="2">
        <v>20.0</v>
      </c>
      <c r="T111" s="2">
        <v>1133.0</v>
      </c>
      <c r="U111" s="2">
        <v>20.0</v>
      </c>
      <c r="V111" s="2">
        <v>0.0</v>
      </c>
      <c r="W111" s="2">
        <v>1133.0</v>
      </c>
    </row>
    <row r="112" ht="15.0" customHeight="1">
      <c r="A112" s="2">
        <v>2024.0</v>
      </c>
      <c r="B112" s="2" t="s">
        <v>49</v>
      </c>
      <c r="C112" s="2">
        <v>12.0</v>
      </c>
      <c r="D112" s="2" t="s">
        <v>50</v>
      </c>
      <c r="E112" s="2" t="s">
        <v>25</v>
      </c>
      <c r="F112" s="2" t="s">
        <v>48</v>
      </c>
      <c r="G112" s="2" t="s">
        <v>32</v>
      </c>
      <c r="H112" s="2" t="s">
        <v>28</v>
      </c>
      <c r="I112" s="2" t="s">
        <v>29</v>
      </c>
      <c r="J112" s="2">
        <v>150.0</v>
      </c>
      <c r="K112" s="2">
        <v>71.0</v>
      </c>
      <c r="L112" s="2">
        <v>24.0</v>
      </c>
      <c r="M112" s="2">
        <v>23.0</v>
      </c>
      <c r="N112" s="2">
        <v>10.0</v>
      </c>
      <c r="O112" s="2">
        <v>14.0</v>
      </c>
      <c r="P112" s="2">
        <v>12.0</v>
      </c>
      <c r="Q112" s="2">
        <v>0.0</v>
      </c>
      <c r="R112" s="2">
        <v>170.0</v>
      </c>
      <c r="S112" s="2">
        <v>87.0</v>
      </c>
      <c r="T112" s="2">
        <v>83.0</v>
      </c>
      <c r="U112" s="2">
        <v>87.0</v>
      </c>
      <c r="V112" s="2">
        <v>0.0</v>
      </c>
      <c r="W112" s="2">
        <v>83.0</v>
      </c>
    </row>
    <row r="113" ht="15.0" customHeight="1">
      <c r="A113" s="2">
        <v>2024.0</v>
      </c>
      <c r="B113" s="2" t="s">
        <v>49</v>
      </c>
      <c r="C113" s="2">
        <v>12.0</v>
      </c>
      <c r="D113" s="2" t="s">
        <v>50</v>
      </c>
      <c r="E113" s="2" t="s">
        <v>25</v>
      </c>
      <c r="F113" s="2" t="s">
        <v>48</v>
      </c>
      <c r="G113" s="2" t="s">
        <v>32</v>
      </c>
      <c r="H113" s="2" t="s">
        <v>28</v>
      </c>
      <c r="I113" s="2" t="s">
        <v>30</v>
      </c>
      <c r="J113" s="2">
        <v>88.0</v>
      </c>
      <c r="K113" s="2">
        <v>32.0</v>
      </c>
      <c r="L113" s="2">
        <v>17.0</v>
      </c>
      <c r="M113" s="2">
        <v>16.0</v>
      </c>
      <c r="N113" s="2">
        <v>7.0</v>
      </c>
      <c r="O113" s="2">
        <v>10.0</v>
      </c>
      <c r="P113" s="2">
        <v>6.0</v>
      </c>
      <c r="Q113" s="2">
        <v>0.0</v>
      </c>
      <c r="R113" s="2">
        <v>80.0</v>
      </c>
      <c r="S113" s="2">
        <v>30.0</v>
      </c>
      <c r="T113" s="2">
        <v>50.0</v>
      </c>
      <c r="U113" s="2">
        <v>30.0</v>
      </c>
      <c r="V113" s="2">
        <v>0.0</v>
      </c>
      <c r="W113" s="2">
        <v>50.0</v>
      </c>
    </row>
    <row r="114" ht="15.0" customHeight="1">
      <c r="A114" s="2">
        <v>2024.0</v>
      </c>
      <c r="B114" s="2" t="s">
        <v>49</v>
      </c>
      <c r="C114" s="2">
        <v>12.0</v>
      </c>
      <c r="D114" s="2" t="s">
        <v>50</v>
      </c>
      <c r="E114" s="2" t="s">
        <v>25</v>
      </c>
      <c r="F114" s="2" t="s">
        <v>48</v>
      </c>
      <c r="G114" s="2" t="s">
        <v>32</v>
      </c>
      <c r="H114" s="2" t="s">
        <v>28</v>
      </c>
      <c r="I114" s="2" t="s">
        <v>31</v>
      </c>
      <c r="J114" s="2">
        <v>799.0</v>
      </c>
      <c r="K114" s="2">
        <v>343.0</v>
      </c>
      <c r="L114" s="2">
        <v>222.0</v>
      </c>
      <c r="M114" s="2">
        <v>172.0</v>
      </c>
      <c r="N114" s="2">
        <v>57.0</v>
      </c>
      <c r="O114" s="2">
        <v>75.0</v>
      </c>
      <c r="P114" s="2">
        <v>62.0</v>
      </c>
      <c r="Q114" s="2">
        <v>0.0</v>
      </c>
      <c r="R114" s="2">
        <v>877.0</v>
      </c>
      <c r="S114" s="2">
        <v>0.0</v>
      </c>
      <c r="T114" s="2">
        <v>877.0</v>
      </c>
      <c r="U114" s="2">
        <v>0.0</v>
      </c>
      <c r="V114" s="2">
        <v>0.0</v>
      </c>
      <c r="W114" s="2">
        <v>877.0</v>
      </c>
    </row>
    <row r="115" ht="15.0" customHeight="1">
      <c r="A115" s="2">
        <v>2024.0</v>
      </c>
      <c r="B115" s="2" t="s">
        <v>49</v>
      </c>
      <c r="C115" s="2">
        <v>12.0</v>
      </c>
      <c r="D115" s="2" t="s">
        <v>50</v>
      </c>
      <c r="E115" s="2" t="s">
        <v>25</v>
      </c>
      <c r="F115" s="2" t="s">
        <v>48</v>
      </c>
      <c r="G115" s="2" t="s">
        <v>33</v>
      </c>
      <c r="H115" s="2" t="s">
        <v>28</v>
      </c>
      <c r="I115" s="2" t="s">
        <v>29</v>
      </c>
      <c r="J115" s="2">
        <v>2133.0</v>
      </c>
      <c r="K115" s="2">
        <v>1280.0</v>
      </c>
      <c r="L115" s="2">
        <v>578.0</v>
      </c>
      <c r="M115" s="2">
        <v>559.0</v>
      </c>
      <c r="N115" s="2">
        <v>328.0</v>
      </c>
      <c r="O115" s="2">
        <v>365.0</v>
      </c>
      <c r="P115" s="2">
        <v>342.0</v>
      </c>
      <c r="Q115" s="2">
        <v>299.0</v>
      </c>
      <c r="R115" s="2">
        <v>9162.0</v>
      </c>
      <c r="S115" s="2">
        <v>6287.0</v>
      </c>
      <c r="T115" s="2">
        <v>2876.0</v>
      </c>
      <c r="U115" s="2">
        <v>6287.0</v>
      </c>
      <c r="V115" s="2">
        <v>0.0</v>
      </c>
      <c r="W115" s="2">
        <v>2876.0</v>
      </c>
    </row>
    <row r="116" ht="15.0" customHeight="1">
      <c r="A116" s="2">
        <v>2024.0</v>
      </c>
      <c r="B116" s="2" t="s">
        <v>49</v>
      </c>
      <c r="C116" s="2">
        <v>12.0</v>
      </c>
      <c r="D116" s="2" t="s">
        <v>50</v>
      </c>
      <c r="E116" s="2" t="s">
        <v>25</v>
      </c>
      <c r="F116" s="2" t="s">
        <v>48</v>
      </c>
      <c r="G116" s="2" t="s">
        <v>33</v>
      </c>
      <c r="H116" s="2" t="s">
        <v>28</v>
      </c>
      <c r="I116" s="2" t="s">
        <v>30</v>
      </c>
      <c r="J116" s="2">
        <v>1158.0</v>
      </c>
      <c r="K116" s="2">
        <v>451.0</v>
      </c>
      <c r="L116" s="2">
        <v>214.0</v>
      </c>
      <c r="M116" s="2">
        <v>206.0</v>
      </c>
      <c r="N116" s="2">
        <v>71.0</v>
      </c>
      <c r="O116" s="2">
        <v>77.0</v>
      </c>
      <c r="P116" s="2">
        <v>67.0</v>
      </c>
      <c r="Q116" s="2">
        <v>59.0</v>
      </c>
      <c r="R116" s="2">
        <v>1675.0</v>
      </c>
      <c r="S116" s="2">
        <v>2226.0</v>
      </c>
      <c r="T116" s="2">
        <v>-552.0</v>
      </c>
      <c r="U116" s="2">
        <v>2226.0</v>
      </c>
      <c r="V116" s="2">
        <v>0.0</v>
      </c>
      <c r="W116" s="2">
        <v>-552.0</v>
      </c>
    </row>
    <row r="117" ht="15.0" customHeight="1">
      <c r="A117" s="2">
        <v>2024.0</v>
      </c>
      <c r="B117" s="2" t="s">
        <v>49</v>
      </c>
      <c r="C117" s="2">
        <v>12.0</v>
      </c>
      <c r="D117" s="2" t="s">
        <v>50</v>
      </c>
      <c r="E117" s="2" t="s">
        <v>25</v>
      </c>
      <c r="F117" s="2" t="s">
        <v>48</v>
      </c>
      <c r="G117" s="2" t="s">
        <v>33</v>
      </c>
      <c r="H117" s="2" t="s">
        <v>28</v>
      </c>
      <c r="I117" s="2" t="s">
        <v>31</v>
      </c>
      <c r="J117" s="2">
        <v>101.0</v>
      </c>
      <c r="K117" s="2">
        <v>37.0</v>
      </c>
      <c r="L117" s="2">
        <v>28.0</v>
      </c>
      <c r="M117" s="2">
        <v>24.0</v>
      </c>
      <c r="N117" s="2">
        <v>7.0</v>
      </c>
      <c r="O117" s="2">
        <v>9.0</v>
      </c>
      <c r="P117" s="2">
        <v>7.0</v>
      </c>
      <c r="Q117" s="2">
        <v>5.0</v>
      </c>
      <c r="R117" s="2">
        <v>169.0</v>
      </c>
      <c r="S117" s="2">
        <v>0.0</v>
      </c>
      <c r="T117" s="2">
        <v>169.0</v>
      </c>
      <c r="U117" s="2">
        <v>0.0</v>
      </c>
      <c r="V117" s="2">
        <v>0.0</v>
      </c>
      <c r="W117" s="2">
        <v>169.0</v>
      </c>
    </row>
    <row r="118" ht="15.0" customHeight="1">
      <c r="A118" s="2">
        <v>2024.0</v>
      </c>
      <c r="B118" s="2" t="s">
        <v>49</v>
      </c>
      <c r="C118" s="2">
        <v>12.0</v>
      </c>
      <c r="D118" s="2" t="s">
        <v>50</v>
      </c>
      <c r="E118" s="2" t="s">
        <v>25</v>
      </c>
      <c r="F118" s="2" t="s">
        <v>48</v>
      </c>
      <c r="G118" s="2" t="s">
        <v>34</v>
      </c>
      <c r="H118" s="2" t="s">
        <v>35</v>
      </c>
      <c r="I118" s="2" t="s">
        <v>29</v>
      </c>
      <c r="J118" s="2">
        <v>26135.0</v>
      </c>
      <c r="K118" s="2">
        <v>16597.0</v>
      </c>
      <c r="L118" s="2">
        <v>6916.0</v>
      </c>
      <c r="M118" s="2">
        <v>6587.0</v>
      </c>
      <c r="N118" s="2">
        <v>3157.0</v>
      </c>
      <c r="O118" s="2">
        <v>4420.0</v>
      </c>
      <c r="P118" s="2">
        <v>3468.0</v>
      </c>
      <c r="Q118" s="2">
        <v>0.0</v>
      </c>
      <c r="R118" s="2">
        <v>51135.0</v>
      </c>
      <c r="S118" s="2">
        <v>32398.0</v>
      </c>
      <c r="T118" s="2">
        <v>18737.0</v>
      </c>
      <c r="U118" s="2">
        <v>32398.0</v>
      </c>
      <c r="V118" s="2">
        <v>0.0</v>
      </c>
      <c r="W118" s="2">
        <v>18737.0</v>
      </c>
    </row>
    <row r="119" ht="15.0" customHeight="1">
      <c r="A119" s="2">
        <v>2024.0</v>
      </c>
      <c r="B119" s="2" t="s">
        <v>49</v>
      </c>
      <c r="C119" s="2">
        <v>12.0</v>
      </c>
      <c r="D119" s="2" t="s">
        <v>50</v>
      </c>
      <c r="E119" s="2" t="s">
        <v>25</v>
      </c>
      <c r="F119" s="2" t="s">
        <v>48</v>
      </c>
      <c r="G119" s="2" t="s">
        <v>34</v>
      </c>
      <c r="H119" s="2" t="s">
        <v>35</v>
      </c>
      <c r="I119" s="2" t="s">
        <v>30</v>
      </c>
      <c r="J119" s="2">
        <v>17822.0</v>
      </c>
      <c r="K119" s="2">
        <v>9476.0</v>
      </c>
      <c r="L119" s="2">
        <v>3050.0</v>
      </c>
      <c r="M119" s="2">
        <v>2875.0</v>
      </c>
      <c r="N119" s="2">
        <v>1219.0</v>
      </c>
      <c r="O119" s="2">
        <v>1649.0</v>
      </c>
      <c r="P119" s="2">
        <v>1272.0</v>
      </c>
      <c r="Q119" s="2">
        <v>0.0</v>
      </c>
      <c r="R119" s="2">
        <v>18266.0</v>
      </c>
      <c r="S119" s="2">
        <v>13097.0</v>
      </c>
      <c r="T119" s="2">
        <v>5169.0</v>
      </c>
      <c r="U119" s="2">
        <v>13097.0</v>
      </c>
      <c r="V119" s="2">
        <v>0.0</v>
      </c>
      <c r="W119" s="2">
        <v>5169.0</v>
      </c>
    </row>
    <row r="120" ht="15.0" customHeight="1">
      <c r="A120" s="2">
        <v>2024.0</v>
      </c>
      <c r="B120" s="2" t="s">
        <v>49</v>
      </c>
      <c r="C120" s="2">
        <v>12.0</v>
      </c>
      <c r="D120" s="2" t="s">
        <v>50</v>
      </c>
      <c r="E120" s="2" t="s">
        <v>25</v>
      </c>
      <c r="F120" s="2" t="s">
        <v>48</v>
      </c>
      <c r="G120" s="2" t="s">
        <v>34</v>
      </c>
      <c r="H120" s="2" t="s">
        <v>35</v>
      </c>
      <c r="I120" s="2" t="s">
        <v>31</v>
      </c>
      <c r="J120" s="2">
        <v>825.0</v>
      </c>
      <c r="K120" s="2">
        <v>476.0</v>
      </c>
      <c r="L120" s="2">
        <v>338.0</v>
      </c>
      <c r="M120" s="2">
        <v>278.0</v>
      </c>
      <c r="N120" s="2">
        <v>124.0</v>
      </c>
      <c r="O120" s="2">
        <v>162.0</v>
      </c>
      <c r="P120" s="2">
        <v>130.0</v>
      </c>
      <c r="Q120" s="2">
        <v>0.0</v>
      </c>
      <c r="R120" s="2">
        <v>2120.0</v>
      </c>
      <c r="S120" s="2">
        <v>5.0</v>
      </c>
      <c r="T120" s="2">
        <v>2115.0</v>
      </c>
      <c r="U120" s="2">
        <v>5.0</v>
      </c>
      <c r="V120" s="2">
        <v>0.0</v>
      </c>
      <c r="W120" s="2">
        <v>2115.0</v>
      </c>
    </row>
    <row r="121" ht="15.0" customHeight="1">
      <c r="A121" s="2">
        <v>2024.0</v>
      </c>
      <c r="B121" s="2" t="s">
        <v>49</v>
      </c>
      <c r="C121" s="2">
        <v>12.0</v>
      </c>
      <c r="D121" s="2" t="s">
        <v>50</v>
      </c>
      <c r="E121" s="2" t="s">
        <v>25</v>
      </c>
      <c r="F121" s="2" t="s">
        <v>48</v>
      </c>
      <c r="G121" s="2" t="s">
        <v>36</v>
      </c>
      <c r="H121" s="2" t="s">
        <v>35</v>
      </c>
      <c r="I121" s="2" t="s">
        <v>29</v>
      </c>
      <c r="J121" s="2">
        <v>11765.0</v>
      </c>
      <c r="K121" s="2">
        <v>6661.0</v>
      </c>
      <c r="L121" s="2">
        <v>3173.0</v>
      </c>
      <c r="M121" s="2">
        <v>3036.0</v>
      </c>
      <c r="N121" s="2">
        <v>2439.0</v>
      </c>
      <c r="O121" s="2">
        <v>4773.0</v>
      </c>
      <c r="P121" s="2">
        <v>4131.0</v>
      </c>
      <c r="Q121" s="2">
        <v>0.0</v>
      </c>
      <c r="R121" s="2">
        <v>54957.0</v>
      </c>
      <c r="S121" s="2">
        <v>38289.0</v>
      </c>
      <c r="T121" s="2">
        <v>16667.0</v>
      </c>
      <c r="U121" s="2">
        <v>37967.0</v>
      </c>
      <c r="V121" s="2">
        <v>323.0</v>
      </c>
      <c r="W121" s="2">
        <v>16990.0</v>
      </c>
    </row>
    <row r="122" ht="15.0" customHeight="1">
      <c r="A122" s="2">
        <v>2024.0</v>
      </c>
      <c r="B122" s="2" t="s">
        <v>49</v>
      </c>
      <c r="C122" s="2">
        <v>12.0</v>
      </c>
      <c r="D122" s="2" t="s">
        <v>50</v>
      </c>
      <c r="E122" s="2" t="s">
        <v>25</v>
      </c>
      <c r="F122" s="2" t="s">
        <v>48</v>
      </c>
      <c r="G122" s="2" t="s">
        <v>36</v>
      </c>
      <c r="H122" s="2" t="s">
        <v>35</v>
      </c>
      <c r="I122" s="2" t="s">
        <v>30</v>
      </c>
      <c r="J122" s="2">
        <v>3070.0</v>
      </c>
      <c r="K122" s="2">
        <v>1143.0</v>
      </c>
      <c r="L122" s="2">
        <v>522.0</v>
      </c>
      <c r="M122" s="2">
        <v>495.0</v>
      </c>
      <c r="N122" s="2">
        <v>390.0</v>
      </c>
      <c r="O122" s="2">
        <v>793.0</v>
      </c>
      <c r="P122" s="2">
        <v>693.0</v>
      </c>
      <c r="Q122" s="2">
        <v>0.0</v>
      </c>
      <c r="R122" s="2">
        <v>9437.0</v>
      </c>
      <c r="S122" s="2">
        <v>7548.0</v>
      </c>
      <c r="T122" s="2">
        <v>1889.0</v>
      </c>
      <c r="U122" s="2">
        <v>7548.0</v>
      </c>
      <c r="V122" s="2">
        <v>0.0</v>
      </c>
      <c r="W122" s="2">
        <v>1889.0</v>
      </c>
    </row>
    <row r="123" ht="15.0" customHeight="1">
      <c r="A123" s="2">
        <v>2024.0</v>
      </c>
      <c r="B123" s="2" t="s">
        <v>49</v>
      </c>
      <c r="C123" s="2">
        <v>12.0</v>
      </c>
      <c r="D123" s="2" t="s">
        <v>50</v>
      </c>
      <c r="E123" s="2" t="s">
        <v>25</v>
      </c>
      <c r="F123" s="2" t="s">
        <v>48</v>
      </c>
      <c r="G123" s="2" t="s">
        <v>36</v>
      </c>
      <c r="H123" s="2" t="s">
        <v>35</v>
      </c>
      <c r="I123" s="2" t="s">
        <v>31</v>
      </c>
      <c r="J123" s="2">
        <v>815.0</v>
      </c>
      <c r="K123" s="2">
        <v>532.0</v>
      </c>
      <c r="L123" s="2">
        <v>341.0</v>
      </c>
      <c r="M123" s="2">
        <v>296.0</v>
      </c>
      <c r="N123" s="2">
        <v>218.0</v>
      </c>
      <c r="O123" s="2">
        <v>422.0</v>
      </c>
      <c r="P123" s="2">
        <v>363.0</v>
      </c>
      <c r="Q123" s="2">
        <v>0.0</v>
      </c>
      <c r="R123" s="2">
        <v>5045.0</v>
      </c>
      <c r="S123" s="2">
        <v>16.0</v>
      </c>
      <c r="T123" s="2">
        <v>5030.0</v>
      </c>
      <c r="U123" s="2">
        <v>16.0</v>
      </c>
      <c r="V123" s="2">
        <v>0.0</v>
      </c>
      <c r="W123" s="2">
        <v>5030.0</v>
      </c>
    </row>
    <row r="124" ht="15.0" customHeight="1">
      <c r="A124" s="2">
        <v>2024.0</v>
      </c>
      <c r="B124" s="2" t="s">
        <v>49</v>
      </c>
      <c r="C124" s="2">
        <v>12.0</v>
      </c>
      <c r="D124" s="2" t="s">
        <v>50</v>
      </c>
      <c r="E124" s="2" t="s">
        <v>25</v>
      </c>
      <c r="F124" s="2" t="s">
        <v>48</v>
      </c>
      <c r="G124" s="2" t="s">
        <v>37</v>
      </c>
      <c r="H124" s="2" t="s">
        <v>35</v>
      </c>
      <c r="I124" s="2" t="s">
        <v>29</v>
      </c>
      <c r="J124" s="2">
        <v>2170.0</v>
      </c>
      <c r="K124" s="2">
        <v>1065.0</v>
      </c>
      <c r="L124" s="2">
        <v>442.0</v>
      </c>
      <c r="M124" s="2">
        <v>414.0</v>
      </c>
      <c r="N124" s="2">
        <v>311.0</v>
      </c>
      <c r="O124" s="2">
        <v>768.0</v>
      </c>
      <c r="P124" s="2">
        <v>545.0</v>
      </c>
      <c r="Q124" s="2">
        <v>3.0</v>
      </c>
      <c r="R124" s="2">
        <v>13884.0</v>
      </c>
      <c r="S124" s="2">
        <v>8292.0</v>
      </c>
      <c r="T124" s="2">
        <v>5592.0</v>
      </c>
      <c r="U124" s="2">
        <v>8292.0</v>
      </c>
      <c r="V124" s="2">
        <v>0.0</v>
      </c>
      <c r="W124" s="2">
        <v>5592.0</v>
      </c>
    </row>
    <row r="125" ht="15.0" customHeight="1">
      <c r="A125" s="2">
        <v>2024.0</v>
      </c>
      <c r="B125" s="2" t="s">
        <v>49</v>
      </c>
      <c r="C125" s="2">
        <v>12.0</v>
      </c>
      <c r="D125" s="2" t="s">
        <v>50</v>
      </c>
      <c r="E125" s="2" t="s">
        <v>25</v>
      </c>
      <c r="F125" s="2" t="s">
        <v>48</v>
      </c>
      <c r="G125" s="2" t="s">
        <v>37</v>
      </c>
      <c r="H125" s="2" t="s">
        <v>35</v>
      </c>
      <c r="I125" s="2" t="s">
        <v>30</v>
      </c>
      <c r="J125" s="2">
        <v>1926.0</v>
      </c>
      <c r="K125" s="2">
        <v>592.0</v>
      </c>
      <c r="L125" s="2">
        <v>198.0</v>
      </c>
      <c r="M125" s="2">
        <v>189.0</v>
      </c>
      <c r="N125" s="2">
        <v>145.0</v>
      </c>
      <c r="O125" s="2">
        <v>361.0</v>
      </c>
      <c r="P125" s="2">
        <v>269.0</v>
      </c>
      <c r="Q125" s="2">
        <v>1.0</v>
      </c>
      <c r="R125" s="2">
        <v>6971.0</v>
      </c>
      <c r="S125" s="2">
        <v>4707.0</v>
      </c>
      <c r="T125" s="2">
        <v>2264.0</v>
      </c>
      <c r="U125" s="2">
        <v>4707.0</v>
      </c>
      <c r="V125" s="2">
        <v>0.0</v>
      </c>
      <c r="W125" s="2">
        <v>2264.0</v>
      </c>
    </row>
    <row r="126" ht="15.0" customHeight="1">
      <c r="A126" s="2">
        <v>2024.0</v>
      </c>
      <c r="B126" s="2" t="s">
        <v>49</v>
      </c>
      <c r="C126" s="2">
        <v>12.0</v>
      </c>
      <c r="D126" s="2" t="s">
        <v>50</v>
      </c>
      <c r="E126" s="2" t="s">
        <v>25</v>
      </c>
      <c r="F126" s="2" t="s">
        <v>48</v>
      </c>
      <c r="G126" s="2" t="s">
        <v>37</v>
      </c>
      <c r="H126" s="2" t="s">
        <v>35</v>
      </c>
      <c r="I126" s="2" t="s">
        <v>31</v>
      </c>
      <c r="J126" s="2">
        <v>67.0</v>
      </c>
      <c r="K126" s="2">
        <v>51.0</v>
      </c>
      <c r="L126" s="2">
        <v>22.0</v>
      </c>
      <c r="M126" s="2">
        <v>19.0</v>
      </c>
      <c r="N126" s="2">
        <v>17.0</v>
      </c>
      <c r="O126" s="2">
        <v>35.0</v>
      </c>
      <c r="P126" s="2">
        <v>19.0</v>
      </c>
      <c r="Q126" s="2">
        <v>0.0</v>
      </c>
      <c r="R126" s="2">
        <v>464.0</v>
      </c>
      <c r="S126" s="2">
        <v>0.0</v>
      </c>
      <c r="T126" s="2">
        <v>464.0</v>
      </c>
      <c r="U126" s="2">
        <v>0.0</v>
      </c>
      <c r="V126" s="2">
        <v>0.0</v>
      </c>
      <c r="W126" s="2">
        <v>464.0</v>
      </c>
    </row>
    <row r="127" ht="15.0" customHeight="1">
      <c r="A127" s="2">
        <v>2024.0</v>
      </c>
      <c r="B127" s="2" t="s">
        <v>49</v>
      </c>
      <c r="C127" s="2">
        <v>12.0</v>
      </c>
      <c r="D127" s="2" t="s">
        <v>50</v>
      </c>
      <c r="E127" s="2" t="s">
        <v>25</v>
      </c>
      <c r="F127" s="2" t="s">
        <v>48</v>
      </c>
      <c r="G127" s="2" t="s">
        <v>38</v>
      </c>
      <c r="H127" s="2" t="s">
        <v>35</v>
      </c>
      <c r="I127" s="2" t="s">
        <v>29</v>
      </c>
      <c r="J127" s="2">
        <v>2715.0</v>
      </c>
      <c r="K127" s="2">
        <v>1528.0</v>
      </c>
      <c r="L127" s="2">
        <v>775.0</v>
      </c>
      <c r="M127" s="2">
        <v>732.0</v>
      </c>
      <c r="N127" s="2">
        <v>431.0</v>
      </c>
      <c r="O127" s="2">
        <v>642.0</v>
      </c>
      <c r="P127" s="2">
        <v>523.0</v>
      </c>
      <c r="Q127" s="2">
        <v>137.0</v>
      </c>
      <c r="R127" s="2">
        <v>9442.0</v>
      </c>
      <c r="S127" s="2">
        <v>5185.0</v>
      </c>
      <c r="T127" s="2">
        <v>4257.0</v>
      </c>
      <c r="U127" s="2">
        <v>5171.0</v>
      </c>
      <c r="V127" s="2">
        <v>14.0</v>
      </c>
      <c r="W127" s="2">
        <v>4271.0</v>
      </c>
    </row>
    <row r="128" ht="15.0" customHeight="1">
      <c r="A128" s="2">
        <v>2024.0</v>
      </c>
      <c r="B128" s="2" t="s">
        <v>49</v>
      </c>
      <c r="C128" s="2">
        <v>12.0</v>
      </c>
      <c r="D128" s="2" t="s">
        <v>50</v>
      </c>
      <c r="E128" s="2" t="s">
        <v>25</v>
      </c>
      <c r="F128" s="2" t="s">
        <v>48</v>
      </c>
      <c r="G128" s="2" t="s">
        <v>38</v>
      </c>
      <c r="H128" s="2" t="s">
        <v>35</v>
      </c>
      <c r="I128" s="2" t="s">
        <v>30</v>
      </c>
      <c r="J128" s="2">
        <v>6887.0</v>
      </c>
      <c r="K128" s="2">
        <v>2320.0</v>
      </c>
      <c r="L128" s="2">
        <v>1658.0</v>
      </c>
      <c r="M128" s="2">
        <v>1602.0</v>
      </c>
      <c r="N128" s="2">
        <v>852.0</v>
      </c>
      <c r="O128" s="2">
        <v>1226.0</v>
      </c>
      <c r="P128" s="2">
        <v>973.0</v>
      </c>
      <c r="Q128" s="2">
        <v>283.0</v>
      </c>
      <c r="R128" s="2">
        <v>17416.0</v>
      </c>
      <c r="S128" s="2">
        <v>16932.0</v>
      </c>
      <c r="T128" s="2">
        <v>484.0</v>
      </c>
      <c r="U128" s="2">
        <v>16932.0</v>
      </c>
      <c r="V128" s="2">
        <v>0.0</v>
      </c>
      <c r="W128" s="2">
        <v>484.0</v>
      </c>
    </row>
    <row r="129" ht="15.0" customHeight="1">
      <c r="A129" s="2">
        <v>2024.0</v>
      </c>
      <c r="B129" s="2" t="s">
        <v>49</v>
      </c>
      <c r="C129" s="2">
        <v>12.0</v>
      </c>
      <c r="D129" s="2" t="s">
        <v>50</v>
      </c>
      <c r="E129" s="2" t="s">
        <v>25</v>
      </c>
      <c r="F129" s="2" t="s">
        <v>48</v>
      </c>
      <c r="G129" s="2" t="s">
        <v>38</v>
      </c>
      <c r="H129" s="2" t="s">
        <v>35</v>
      </c>
      <c r="I129" s="2" t="s">
        <v>31</v>
      </c>
      <c r="J129" s="2">
        <v>993.0</v>
      </c>
      <c r="K129" s="2">
        <v>415.0</v>
      </c>
      <c r="L129" s="2">
        <v>307.0</v>
      </c>
      <c r="M129" s="2">
        <v>282.0</v>
      </c>
      <c r="N129" s="2">
        <v>133.0</v>
      </c>
      <c r="O129" s="2">
        <v>188.0</v>
      </c>
      <c r="P129" s="2">
        <v>155.0</v>
      </c>
      <c r="Q129" s="2">
        <v>40.0</v>
      </c>
      <c r="R129" s="2">
        <v>2872.0</v>
      </c>
      <c r="S129" s="2">
        <v>10.0</v>
      </c>
      <c r="T129" s="2">
        <v>2862.0</v>
      </c>
      <c r="U129" s="2">
        <v>10.0</v>
      </c>
      <c r="V129" s="2">
        <v>0.0</v>
      </c>
      <c r="W129" s="2">
        <v>2862.0</v>
      </c>
    </row>
    <row r="130" ht="15.0" customHeight="1">
      <c r="A130" s="2">
        <v>2024.0</v>
      </c>
      <c r="B130" s="2" t="s">
        <v>49</v>
      </c>
      <c r="C130" s="2">
        <v>12.0</v>
      </c>
      <c r="D130" s="2" t="s">
        <v>50</v>
      </c>
      <c r="E130" s="2" t="s">
        <v>25</v>
      </c>
      <c r="F130" s="2" t="s">
        <v>48</v>
      </c>
      <c r="G130" s="2" t="s">
        <v>39</v>
      </c>
      <c r="H130" s="2" t="s">
        <v>40</v>
      </c>
      <c r="I130" s="2" t="s">
        <v>29</v>
      </c>
      <c r="J130" s="2">
        <v>24567.0</v>
      </c>
      <c r="K130" s="2">
        <v>15033.0</v>
      </c>
      <c r="L130" s="2">
        <v>7078.0</v>
      </c>
      <c r="M130" s="2">
        <v>6740.0</v>
      </c>
      <c r="N130" s="2">
        <v>5965.0</v>
      </c>
      <c r="O130" s="2">
        <v>10807.0</v>
      </c>
      <c r="P130" s="2">
        <v>9430.0</v>
      </c>
      <c r="Q130" s="2">
        <v>8184.0</v>
      </c>
      <c r="R130" s="2">
        <v>77410.0</v>
      </c>
      <c r="S130" s="2">
        <v>49396.0</v>
      </c>
      <c r="T130" s="2">
        <v>28014.0</v>
      </c>
      <c r="U130" s="2">
        <v>49396.0</v>
      </c>
      <c r="V130" s="2">
        <v>0.0</v>
      </c>
      <c r="W130" s="2">
        <v>28014.0</v>
      </c>
    </row>
    <row r="131" ht="15.0" customHeight="1">
      <c r="A131" s="2">
        <v>2024.0</v>
      </c>
      <c r="B131" s="2" t="s">
        <v>49</v>
      </c>
      <c r="C131" s="2">
        <v>12.0</v>
      </c>
      <c r="D131" s="2" t="s">
        <v>50</v>
      </c>
      <c r="E131" s="2" t="s">
        <v>25</v>
      </c>
      <c r="F131" s="2" t="s">
        <v>48</v>
      </c>
      <c r="G131" s="2" t="s">
        <v>39</v>
      </c>
      <c r="H131" s="2" t="s">
        <v>40</v>
      </c>
      <c r="I131" s="2" t="s">
        <v>30</v>
      </c>
      <c r="J131" s="2">
        <v>6389.0</v>
      </c>
      <c r="K131" s="2">
        <v>3094.0</v>
      </c>
      <c r="L131" s="2">
        <v>1267.0</v>
      </c>
      <c r="M131" s="2">
        <v>1196.0</v>
      </c>
      <c r="N131" s="2">
        <v>1034.0</v>
      </c>
      <c r="O131" s="2">
        <v>1888.0</v>
      </c>
      <c r="P131" s="2">
        <v>1653.0</v>
      </c>
      <c r="Q131" s="2">
        <v>1390.0</v>
      </c>
      <c r="R131" s="2">
        <v>13570.0</v>
      </c>
      <c r="S131" s="2">
        <v>9729.0</v>
      </c>
      <c r="T131" s="2">
        <v>3842.0</v>
      </c>
      <c r="U131" s="2">
        <v>9729.0</v>
      </c>
      <c r="V131" s="2">
        <v>0.0</v>
      </c>
      <c r="W131" s="2">
        <v>3842.0</v>
      </c>
    </row>
    <row r="132" ht="15.0" customHeight="1">
      <c r="A132" s="2">
        <v>2024.0</v>
      </c>
      <c r="B132" s="2" t="s">
        <v>49</v>
      </c>
      <c r="C132" s="2">
        <v>12.0</v>
      </c>
      <c r="D132" s="2" t="s">
        <v>50</v>
      </c>
      <c r="E132" s="2" t="s">
        <v>25</v>
      </c>
      <c r="F132" s="2" t="s">
        <v>48</v>
      </c>
      <c r="G132" s="2" t="s">
        <v>39</v>
      </c>
      <c r="H132" s="2" t="s">
        <v>40</v>
      </c>
      <c r="I132" s="2" t="s">
        <v>31</v>
      </c>
      <c r="J132" s="2">
        <v>3540.0</v>
      </c>
      <c r="K132" s="2">
        <v>1516.0</v>
      </c>
      <c r="L132" s="2">
        <v>874.0</v>
      </c>
      <c r="M132" s="2">
        <v>767.0</v>
      </c>
      <c r="N132" s="2">
        <v>650.0</v>
      </c>
      <c r="O132" s="2">
        <v>1122.0</v>
      </c>
      <c r="P132" s="2">
        <v>932.0</v>
      </c>
      <c r="Q132" s="2">
        <v>772.0</v>
      </c>
      <c r="R132" s="2">
        <v>8542.0</v>
      </c>
      <c r="S132" s="2">
        <v>16.0</v>
      </c>
      <c r="T132" s="2">
        <v>8527.0</v>
      </c>
      <c r="U132" s="2">
        <v>16.0</v>
      </c>
      <c r="V132" s="2">
        <v>0.0</v>
      </c>
      <c r="W132" s="2">
        <v>8527.0</v>
      </c>
    </row>
    <row r="133" ht="15.0" customHeight="1">
      <c r="A133" s="2">
        <v>2024.0</v>
      </c>
      <c r="B133" s="2" t="s">
        <v>49</v>
      </c>
      <c r="C133" s="2">
        <v>12.0</v>
      </c>
      <c r="D133" s="2" t="s">
        <v>50</v>
      </c>
      <c r="E133" s="2" t="s">
        <v>25</v>
      </c>
      <c r="F133" s="2" t="s">
        <v>48</v>
      </c>
      <c r="G133" s="2" t="s">
        <v>41</v>
      </c>
      <c r="H133" s="2" t="s">
        <v>42</v>
      </c>
      <c r="I133" s="2" t="s">
        <v>29</v>
      </c>
      <c r="J133" s="2">
        <v>29400.0</v>
      </c>
      <c r="K133" s="2">
        <v>15953.0</v>
      </c>
      <c r="L133" s="2">
        <v>4708.0</v>
      </c>
      <c r="M133" s="2">
        <v>4360.0</v>
      </c>
      <c r="N133" s="2">
        <v>1623.0</v>
      </c>
      <c r="O133" s="2">
        <v>2038.0</v>
      </c>
      <c r="P133" s="2">
        <v>1565.0</v>
      </c>
      <c r="Q133" s="2">
        <v>0.0</v>
      </c>
      <c r="R133" s="2">
        <v>15198.0</v>
      </c>
      <c r="S133" s="2">
        <v>10241.0</v>
      </c>
      <c r="T133" s="2">
        <v>4957.0</v>
      </c>
      <c r="U133" s="2">
        <v>9683.0</v>
      </c>
      <c r="V133" s="2">
        <v>558.0</v>
      </c>
      <c r="W133" s="2">
        <v>5515.0</v>
      </c>
    </row>
    <row r="134" ht="15.0" customHeight="1">
      <c r="A134" s="2">
        <v>2024.0</v>
      </c>
      <c r="B134" s="2" t="s">
        <v>49</v>
      </c>
      <c r="C134" s="2">
        <v>12.0</v>
      </c>
      <c r="D134" s="2" t="s">
        <v>50</v>
      </c>
      <c r="E134" s="2" t="s">
        <v>25</v>
      </c>
      <c r="F134" s="2" t="s">
        <v>48</v>
      </c>
      <c r="G134" s="2" t="s">
        <v>41</v>
      </c>
      <c r="H134" s="2" t="s">
        <v>42</v>
      </c>
      <c r="I134" s="2" t="s">
        <v>30</v>
      </c>
      <c r="J134" s="2">
        <v>4722.0</v>
      </c>
      <c r="K134" s="2">
        <v>2629.0</v>
      </c>
      <c r="L134" s="2">
        <v>1464.0</v>
      </c>
      <c r="M134" s="2">
        <v>1374.0</v>
      </c>
      <c r="N134" s="2">
        <v>643.0</v>
      </c>
      <c r="O134" s="2">
        <v>844.0</v>
      </c>
      <c r="P134" s="2">
        <v>652.0</v>
      </c>
      <c r="Q134" s="2">
        <v>0.0</v>
      </c>
      <c r="R134" s="2">
        <v>6168.0</v>
      </c>
      <c r="S134" s="2">
        <v>4676.0</v>
      </c>
      <c r="T134" s="2">
        <v>1490.0</v>
      </c>
      <c r="U134" s="2">
        <v>4676.0</v>
      </c>
      <c r="V134" s="2">
        <v>0.0</v>
      </c>
      <c r="W134" s="2">
        <v>1490.0</v>
      </c>
    </row>
    <row r="135" ht="15.0" customHeight="1">
      <c r="A135" s="2">
        <v>2024.0</v>
      </c>
      <c r="B135" s="2" t="s">
        <v>49</v>
      </c>
      <c r="C135" s="2">
        <v>12.0</v>
      </c>
      <c r="D135" s="2" t="s">
        <v>50</v>
      </c>
      <c r="E135" s="2" t="s">
        <v>25</v>
      </c>
      <c r="F135" s="2" t="s">
        <v>48</v>
      </c>
      <c r="G135" s="2" t="s">
        <v>41</v>
      </c>
      <c r="H135" s="2" t="s">
        <v>42</v>
      </c>
      <c r="I135" s="2" t="s">
        <v>31</v>
      </c>
      <c r="J135" s="2">
        <v>9152.0</v>
      </c>
      <c r="K135" s="2">
        <v>6340.0</v>
      </c>
      <c r="L135" s="2">
        <v>5842.0</v>
      </c>
      <c r="M135" s="2">
        <v>5019.0</v>
      </c>
      <c r="N135" s="2">
        <v>1278.0</v>
      </c>
      <c r="O135" s="2">
        <v>1645.0</v>
      </c>
      <c r="P135" s="2">
        <v>1228.0</v>
      </c>
      <c r="Q135" s="2">
        <v>0.0</v>
      </c>
      <c r="R135" s="2">
        <v>12871.0</v>
      </c>
      <c r="S135" s="2">
        <v>95.0</v>
      </c>
      <c r="T135" s="2">
        <v>12776.0</v>
      </c>
      <c r="U135" s="2">
        <v>95.0</v>
      </c>
      <c r="V135" s="2">
        <v>0.0</v>
      </c>
      <c r="W135" s="2">
        <v>12776.0</v>
      </c>
    </row>
    <row r="136" ht="15.0" customHeight="1">
      <c r="A136" s="2">
        <v>2024.0</v>
      </c>
      <c r="B136" s="2" t="s">
        <v>49</v>
      </c>
      <c r="C136" s="2">
        <v>12.0</v>
      </c>
      <c r="D136" s="2" t="s">
        <v>50</v>
      </c>
      <c r="E136" s="2" t="s">
        <v>25</v>
      </c>
      <c r="F136" s="2" t="s">
        <v>48</v>
      </c>
      <c r="G136" s="2" t="s">
        <v>43</v>
      </c>
      <c r="H136" s="2" t="s">
        <v>42</v>
      </c>
      <c r="I136" s="2" t="s">
        <v>29</v>
      </c>
      <c r="J136" s="2">
        <v>18921.0</v>
      </c>
      <c r="K136" s="2">
        <v>9106.0</v>
      </c>
      <c r="L136" s="2">
        <v>2942.0</v>
      </c>
      <c r="M136" s="2">
        <v>2729.0</v>
      </c>
      <c r="N136" s="2">
        <v>1534.0</v>
      </c>
      <c r="O136" s="2">
        <v>3225.0</v>
      </c>
      <c r="P136" s="2">
        <v>2737.0</v>
      </c>
      <c r="Q136" s="2">
        <v>5.0</v>
      </c>
      <c r="R136" s="2">
        <v>83750.0</v>
      </c>
      <c r="S136" s="2">
        <v>54401.0</v>
      </c>
      <c r="T136" s="2">
        <v>29349.0</v>
      </c>
      <c r="U136" s="2">
        <v>52199.0</v>
      </c>
      <c r="V136" s="2">
        <v>2202.0</v>
      </c>
      <c r="W136" s="2">
        <v>31551.0</v>
      </c>
    </row>
    <row r="137" ht="15.0" customHeight="1">
      <c r="A137" s="2">
        <v>2024.0</v>
      </c>
      <c r="B137" s="2" t="s">
        <v>49</v>
      </c>
      <c r="C137" s="2">
        <v>12.0</v>
      </c>
      <c r="D137" s="2" t="s">
        <v>50</v>
      </c>
      <c r="E137" s="2" t="s">
        <v>25</v>
      </c>
      <c r="F137" s="2" t="s">
        <v>48</v>
      </c>
      <c r="G137" s="2" t="s">
        <v>43</v>
      </c>
      <c r="H137" s="2" t="s">
        <v>42</v>
      </c>
      <c r="I137" s="2" t="s">
        <v>30</v>
      </c>
      <c r="J137" s="2">
        <v>5605.0</v>
      </c>
      <c r="K137" s="2">
        <v>1907.0</v>
      </c>
      <c r="L137" s="2">
        <v>568.0</v>
      </c>
      <c r="M137" s="2">
        <v>524.0</v>
      </c>
      <c r="N137" s="2">
        <v>318.0</v>
      </c>
      <c r="O137" s="2">
        <v>778.0</v>
      </c>
      <c r="P137" s="2">
        <v>689.0</v>
      </c>
      <c r="Q137" s="2">
        <v>1.0</v>
      </c>
      <c r="R137" s="2">
        <v>23395.0</v>
      </c>
      <c r="S137" s="2">
        <v>17606.0</v>
      </c>
      <c r="T137" s="2">
        <v>5789.0</v>
      </c>
      <c r="U137" s="2">
        <v>17606.0</v>
      </c>
      <c r="V137" s="2">
        <v>0.0</v>
      </c>
      <c r="W137" s="2">
        <v>5789.0</v>
      </c>
    </row>
    <row r="138" ht="15.0" customHeight="1">
      <c r="A138" s="2">
        <v>2024.0</v>
      </c>
      <c r="B138" s="2" t="s">
        <v>49</v>
      </c>
      <c r="C138" s="2">
        <v>12.0</v>
      </c>
      <c r="D138" s="2" t="s">
        <v>50</v>
      </c>
      <c r="E138" s="2" t="s">
        <v>25</v>
      </c>
      <c r="F138" s="2" t="s">
        <v>48</v>
      </c>
      <c r="G138" s="2" t="s">
        <v>43</v>
      </c>
      <c r="H138" s="2" t="s">
        <v>42</v>
      </c>
      <c r="I138" s="2" t="s">
        <v>31</v>
      </c>
      <c r="J138" s="2">
        <v>647.0</v>
      </c>
      <c r="K138" s="2">
        <v>435.0</v>
      </c>
      <c r="L138" s="2">
        <v>263.0</v>
      </c>
      <c r="M138" s="2">
        <v>224.0</v>
      </c>
      <c r="N138" s="2">
        <v>150.0</v>
      </c>
      <c r="O138" s="2">
        <v>373.0</v>
      </c>
      <c r="P138" s="2">
        <v>313.0</v>
      </c>
      <c r="Q138" s="2">
        <v>0.0</v>
      </c>
      <c r="R138" s="2">
        <v>9194.0</v>
      </c>
      <c r="S138" s="2">
        <v>0.0</v>
      </c>
      <c r="T138" s="2">
        <v>9194.0</v>
      </c>
      <c r="U138" s="2">
        <v>0.0</v>
      </c>
      <c r="V138" s="2">
        <v>0.0</v>
      </c>
      <c r="W138" s="2">
        <v>9194.0</v>
      </c>
    </row>
    <row r="139" ht="15.0" customHeight="1">
      <c r="A139" s="2">
        <v>2024.0</v>
      </c>
      <c r="B139" s="2" t="s">
        <v>49</v>
      </c>
      <c r="C139" s="2">
        <v>12.0</v>
      </c>
      <c r="D139" s="2" t="s">
        <v>50</v>
      </c>
      <c r="E139" s="2" t="s">
        <v>25</v>
      </c>
      <c r="F139" s="2" t="s">
        <v>48</v>
      </c>
      <c r="G139" s="2" t="s">
        <v>44</v>
      </c>
      <c r="H139" s="2" t="s">
        <v>45</v>
      </c>
      <c r="I139" s="2" t="s">
        <v>29</v>
      </c>
      <c r="J139" s="2">
        <v>3205.0</v>
      </c>
      <c r="K139" s="2">
        <v>1726.0</v>
      </c>
      <c r="L139" s="2">
        <v>563.0</v>
      </c>
      <c r="M139" s="2">
        <v>541.0</v>
      </c>
      <c r="N139" s="2">
        <v>424.0</v>
      </c>
      <c r="O139" s="2">
        <v>768.0</v>
      </c>
      <c r="P139" s="2">
        <v>638.0</v>
      </c>
      <c r="Q139" s="2">
        <v>340.0</v>
      </c>
      <c r="R139" s="2">
        <v>17031.0</v>
      </c>
      <c r="S139" s="2">
        <v>14433.0</v>
      </c>
      <c r="T139" s="2">
        <v>2598.0</v>
      </c>
      <c r="U139" s="2">
        <v>14433.0</v>
      </c>
      <c r="V139" s="2">
        <v>0.0</v>
      </c>
      <c r="W139" s="2">
        <v>2598.0</v>
      </c>
    </row>
    <row r="140" ht="15.0" customHeight="1">
      <c r="A140" s="2">
        <v>2024.0</v>
      </c>
      <c r="B140" s="2" t="s">
        <v>49</v>
      </c>
      <c r="C140" s="2">
        <v>12.0</v>
      </c>
      <c r="D140" s="2" t="s">
        <v>50</v>
      </c>
      <c r="E140" s="2" t="s">
        <v>25</v>
      </c>
      <c r="F140" s="2" t="s">
        <v>48</v>
      </c>
      <c r="G140" s="2" t="s">
        <v>44</v>
      </c>
      <c r="H140" s="2" t="s">
        <v>45</v>
      </c>
      <c r="I140" s="2" t="s">
        <v>30</v>
      </c>
      <c r="J140" s="2">
        <v>5847.0</v>
      </c>
      <c r="K140" s="2">
        <v>2861.0</v>
      </c>
      <c r="L140" s="2">
        <v>759.0</v>
      </c>
      <c r="M140" s="2">
        <v>718.0</v>
      </c>
      <c r="N140" s="2">
        <v>445.0</v>
      </c>
      <c r="O140" s="2">
        <v>689.0</v>
      </c>
      <c r="P140" s="2">
        <v>564.0</v>
      </c>
      <c r="Q140" s="2">
        <v>229.0</v>
      </c>
      <c r="R140" s="2">
        <v>13662.0</v>
      </c>
      <c r="S140" s="2">
        <v>13948.0</v>
      </c>
      <c r="T140" s="2">
        <v>-286.0</v>
      </c>
      <c r="U140" s="2">
        <v>13948.0</v>
      </c>
      <c r="V140" s="2">
        <v>0.0</v>
      </c>
      <c r="W140" s="2">
        <v>-286.0</v>
      </c>
    </row>
    <row r="141" ht="15.0" customHeight="1">
      <c r="A141" s="2">
        <v>2024.0</v>
      </c>
      <c r="B141" s="2" t="s">
        <v>49</v>
      </c>
      <c r="C141" s="2">
        <v>12.0</v>
      </c>
      <c r="D141" s="2" t="s">
        <v>50</v>
      </c>
      <c r="E141" s="2" t="s">
        <v>25</v>
      </c>
      <c r="F141" s="2" t="s">
        <v>48</v>
      </c>
      <c r="G141" s="2" t="s">
        <v>44</v>
      </c>
      <c r="H141" s="2" t="s">
        <v>45</v>
      </c>
      <c r="I141" s="2" t="s">
        <v>31</v>
      </c>
      <c r="J141" s="2">
        <v>304.0</v>
      </c>
      <c r="K141" s="2">
        <v>210.0</v>
      </c>
      <c r="L141" s="2">
        <v>120.0</v>
      </c>
      <c r="M141" s="2">
        <v>98.0</v>
      </c>
      <c r="N141" s="2">
        <v>71.0</v>
      </c>
      <c r="O141" s="2">
        <v>123.0</v>
      </c>
      <c r="P141" s="2">
        <v>94.0</v>
      </c>
      <c r="Q141" s="2">
        <v>26.0</v>
      </c>
      <c r="R141" s="2">
        <v>2447.0</v>
      </c>
      <c r="S141" s="2">
        <v>48.0</v>
      </c>
      <c r="T141" s="2">
        <v>2399.0</v>
      </c>
      <c r="U141" s="2">
        <v>48.0</v>
      </c>
      <c r="V141" s="2">
        <v>0.0</v>
      </c>
      <c r="W141" s="2">
        <v>2399.0</v>
      </c>
    </row>
    <row r="142" ht="15.0" customHeight="1">
      <c r="A142" s="2">
        <v>2024.0</v>
      </c>
      <c r="B142" s="2" t="s">
        <v>49</v>
      </c>
      <c r="C142" s="2">
        <v>12.0</v>
      </c>
      <c r="D142" s="2" t="s">
        <v>50</v>
      </c>
      <c r="E142" s="2" t="s">
        <v>25</v>
      </c>
      <c r="F142" s="2" t="s">
        <v>48</v>
      </c>
      <c r="G142" s="2" t="s">
        <v>46</v>
      </c>
      <c r="H142" s="2" t="s">
        <v>47</v>
      </c>
      <c r="I142" s="2" t="s">
        <v>29</v>
      </c>
      <c r="J142" s="2">
        <v>13540.0</v>
      </c>
      <c r="K142" s="2">
        <v>6362.0</v>
      </c>
      <c r="L142" s="2">
        <v>2268.0</v>
      </c>
      <c r="M142" s="2">
        <v>2141.0</v>
      </c>
      <c r="N142" s="2">
        <v>2141.0</v>
      </c>
      <c r="O142" s="2">
        <v>4400.0</v>
      </c>
      <c r="P142" s="2">
        <v>3982.0</v>
      </c>
      <c r="Q142" s="2">
        <v>2551.0</v>
      </c>
      <c r="R142" s="2">
        <v>104491.0</v>
      </c>
      <c r="S142" s="2">
        <v>73953.0</v>
      </c>
      <c r="T142" s="2">
        <v>30539.0</v>
      </c>
      <c r="U142" s="2">
        <v>73953.0</v>
      </c>
      <c r="V142" s="2">
        <v>0.0</v>
      </c>
      <c r="W142" s="2">
        <v>30539.0</v>
      </c>
    </row>
    <row r="143" ht="15.0" customHeight="1">
      <c r="A143" s="2">
        <v>2024.0</v>
      </c>
      <c r="B143" s="2" t="s">
        <v>49</v>
      </c>
      <c r="C143" s="2">
        <v>12.0</v>
      </c>
      <c r="D143" s="2" t="s">
        <v>50</v>
      </c>
      <c r="E143" s="2" t="s">
        <v>25</v>
      </c>
      <c r="F143" s="2" t="s">
        <v>48</v>
      </c>
      <c r="G143" s="2" t="s">
        <v>46</v>
      </c>
      <c r="H143" s="2" t="s">
        <v>47</v>
      </c>
      <c r="I143" s="2" t="s">
        <v>30</v>
      </c>
      <c r="J143" s="2">
        <v>5882.0</v>
      </c>
      <c r="K143" s="2">
        <v>1821.0</v>
      </c>
      <c r="L143" s="2">
        <v>884.0</v>
      </c>
      <c r="M143" s="2">
        <v>833.0</v>
      </c>
      <c r="N143" s="2">
        <v>833.0</v>
      </c>
      <c r="O143" s="2">
        <v>1633.0</v>
      </c>
      <c r="P143" s="2">
        <v>1478.0</v>
      </c>
      <c r="Q143" s="2">
        <v>983.0</v>
      </c>
      <c r="R143" s="2">
        <v>37870.0</v>
      </c>
      <c r="S143" s="2">
        <v>29561.0</v>
      </c>
      <c r="T143" s="2">
        <v>8309.0</v>
      </c>
      <c r="U143" s="2">
        <v>29561.0</v>
      </c>
      <c r="V143" s="2">
        <v>0.0</v>
      </c>
      <c r="W143" s="2">
        <v>8309.0</v>
      </c>
    </row>
    <row r="144" ht="15.0" customHeight="1">
      <c r="A144" s="2">
        <v>2024.0</v>
      </c>
      <c r="B144" s="2" t="s">
        <v>49</v>
      </c>
      <c r="C144" s="2">
        <v>12.0</v>
      </c>
      <c r="D144" s="2" t="s">
        <v>50</v>
      </c>
      <c r="E144" s="2" t="s">
        <v>25</v>
      </c>
      <c r="F144" s="2" t="s">
        <v>48</v>
      </c>
      <c r="G144" s="2" t="s">
        <v>46</v>
      </c>
      <c r="H144" s="2" t="s">
        <v>47</v>
      </c>
      <c r="I144" s="2" t="s">
        <v>31</v>
      </c>
      <c r="J144" s="2">
        <v>1554.0</v>
      </c>
      <c r="K144" s="2">
        <v>655.0</v>
      </c>
      <c r="L144" s="2">
        <v>401.0</v>
      </c>
      <c r="M144" s="2">
        <v>288.0</v>
      </c>
      <c r="N144" s="2">
        <v>288.0</v>
      </c>
      <c r="O144" s="2">
        <v>541.0</v>
      </c>
      <c r="P144" s="2">
        <v>489.0</v>
      </c>
      <c r="Q144" s="2">
        <v>342.0</v>
      </c>
      <c r="R144" s="2">
        <v>14091.0</v>
      </c>
      <c r="S144" s="2">
        <v>55.0</v>
      </c>
      <c r="T144" s="2">
        <v>14036.0</v>
      </c>
      <c r="U144" s="2">
        <v>55.0</v>
      </c>
      <c r="V144" s="2">
        <v>0.0</v>
      </c>
      <c r="W144" s="2">
        <v>14036.0</v>
      </c>
    </row>
    <row r="145" ht="15.0" customHeight="1">
      <c r="A145" s="2">
        <v>2024.0</v>
      </c>
      <c r="B145" s="2" t="s">
        <v>51</v>
      </c>
      <c r="C145" s="2">
        <v>7.0</v>
      </c>
      <c r="D145" s="2" t="s">
        <v>52</v>
      </c>
      <c r="E145" s="2" t="s">
        <v>25</v>
      </c>
      <c r="F145" s="2" t="s">
        <v>26</v>
      </c>
      <c r="G145" s="2" t="s">
        <v>27</v>
      </c>
      <c r="H145" s="2" t="s">
        <v>28</v>
      </c>
      <c r="I145" s="2" t="s">
        <v>29</v>
      </c>
      <c r="J145" s="2">
        <v>5727.0</v>
      </c>
      <c r="K145" s="2">
        <v>3224.0</v>
      </c>
      <c r="L145" s="2">
        <v>947.0</v>
      </c>
      <c r="M145" s="2">
        <v>906.0</v>
      </c>
      <c r="N145" s="2">
        <v>718.0</v>
      </c>
      <c r="O145" s="2">
        <v>1500.0</v>
      </c>
      <c r="P145" s="2">
        <v>1358.0</v>
      </c>
      <c r="Q145" s="2">
        <v>204.0</v>
      </c>
      <c r="R145" s="2">
        <v>25222.0</v>
      </c>
      <c r="S145" s="2">
        <v>14520.0</v>
      </c>
      <c r="T145" s="2">
        <v>10702.0</v>
      </c>
      <c r="U145" s="2">
        <v>14165.0</v>
      </c>
      <c r="V145" s="2">
        <v>355.0</v>
      </c>
      <c r="W145" s="2">
        <v>11057.0</v>
      </c>
    </row>
    <row r="146" ht="15.0" customHeight="1">
      <c r="A146" s="2">
        <v>2024.0</v>
      </c>
      <c r="B146" s="2" t="s">
        <v>51</v>
      </c>
      <c r="C146" s="2">
        <v>7.0</v>
      </c>
      <c r="D146" s="2" t="s">
        <v>52</v>
      </c>
      <c r="E146" s="2" t="s">
        <v>25</v>
      </c>
      <c r="F146" s="2" t="s">
        <v>26</v>
      </c>
      <c r="G146" s="2" t="s">
        <v>27</v>
      </c>
      <c r="H146" s="2" t="s">
        <v>28</v>
      </c>
      <c r="I146" s="2" t="s">
        <v>30</v>
      </c>
      <c r="J146" s="2">
        <v>1789.0</v>
      </c>
      <c r="K146" s="2">
        <v>685.0</v>
      </c>
      <c r="L146" s="2">
        <v>157.0</v>
      </c>
      <c r="M146" s="2">
        <v>152.0</v>
      </c>
      <c r="N146" s="2">
        <v>127.0</v>
      </c>
      <c r="O146" s="2">
        <v>277.0</v>
      </c>
      <c r="P146" s="2">
        <v>250.0</v>
      </c>
      <c r="Q146" s="2">
        <v>42.0</v>
      </c>
      <c r="R146" s="2">
        <v>4617.0</v>
      </c>
      <c r="S146" s="2">
        <v>2422.0</v>
      </c>
      <c r="T146" s="2">
        <v>2195.0</v>
      </c>
      <c r="U146" s="2">
        <v>2405.0</v>
      </c>
      <c r="V146" s="2">
        <v>16.0</v>
      </c>
      <c r="W146" s="2">
        <v>2211.0</v>
      </c>
    </row>
    <row r="147" ht="15.0" customHeight="1">
      <c r="A147" s="2">
        <v>2024.0</v>
      </c>
      <c r="B147" s="2" t="s">
        <v>51</v>
      </c>
      <c r="C147" s="2">
        <v>7.0</v>
      </c>
      <c r="D147" s="2" t="s">
        <v>52</v>
      </c>
      <c r="E147" s="2" t="s">
        <v>25</v>
      </c>
      <c r="F147" s="2" t="s">
        <v>26</v>
      </c>
      <c r="G147" s="2" t="s">
        <v>27</v>
      </c>
      <c r="H147" s="2" t="s">
        <v>28</v>
      </c>
      <c r="I147" s="2" t="s">
        <v>31</v>
      </c>
      <c r="J147" s="2">
        <v>338.0</v>
      </c>
      <c r="K147" s="2">
        <v>217.0</v>
      </c>
      <c r="L147" s="2">
        <v>139.0</v>
      </c>
      <c r="M147" s="2">
        <v>129.0</v>
      </c>
      <c r="N147" s="2">
        <v>92.0</v>
      </c>
      <c r="O147" s="2">
        <v>191.0</v>
      </c>
      <c r="P147" s="2">
        <v>175.0</v>
      </c>
      <c r="Q147" s="2">
        <v>44.0</v>
      </c>
      <c r="R147" s="2">
        <v>3170.0</v>
      </c>
      <c r="S147" s="2">
        <v>387.0</v>
      </c>
      <c r="T147" s="2">
        <v>2783.0</v>
      </c>
      <c r="U147" s="2">
        <v>387.0</v>
      </c>
      <c r="V147" s="2">
        <v>0.0</v>
      </c>
      <c r="W147" s="2">
        <v>2783.0</v>
      </c>
    </row>
    <row r="148" ht="15.0" customHeight="1">
      <c r="A148" s="2">
        <v>2024.0</v>
      </c>
      <c r="B148" s="2" t="s">
        <v>51</v>
      </c>
      <c r="C148" s="2">
        <v>7.0</v>
      </c>
      <c r="D148" s="2" t="s">
        <v>52</v>
      </c>
      <c r="E148" s="2" t="s">
        <v>25</v>
      </c>
      <c r="F148" s="2" t="s">
        <v>26</v>
      </c>
      <c r="G148" s="2" t="s">
        <v>32</v>
      </c>
      <c r="H148" s="2" t="s">
        <v>28</v>
      </c>
      <c r="I148" s="2" t="s">
        <v>29</v>
      </c>
      <c r="J148" s="2">
        <v>30506.0</v>
      </c>
      <c r="K148" s="2">
        <v>18109.0</v>
      </c>
      <c r="L148" s="2">
        <v>9305.0</v>
      </c>
      <c r="M148" s="2">
        <v>8882.0</v>
      </c>
      <c r="N148" s="2">
        <v>5827.0</v>
      </c>
      <c r="O148" s="2">
        <v>7466.0</v>
      </c>
      <c r="P148" s="2">
        <v>6652.0</v>
      </c>
      <c r="Q148" s="2">
        <v>0.0</v>
      </c>
      <c r="R148" s="2">
        <v>51629.0</v>
      </c>
      <c r="S148" s="2">
        <v>26957.0</v>
      </c>
      <c r="T148" s="2">
        <v>24673.0</v>
      </c>
      <c r="U148" s="2">
        <v>25613.0</v>
      </c>
      <c r="V148" s="2">
        <v>1344.0</v>
      </c>
      <c r="W148" s="2">
        <v>26017.0</v>
      </c>
    </row>
    <row r="149" ht="15.0" customHeight="1">
      <c r="A149" s="2">
        <v>2024.0</v>
      </c>
      <c r="B149" s="2" t="s">
        <v>51</v>
      </c>
      <c r="C149" s="2">
        <v>7.0</v>
      </c>
      <c r="D149" s="2" t="s">
        <v>52</v>
      </c>
      <c r="E149" s="2" t="s">
        <v>25</v>
      </c>
      <c r="F149" s="2" t="s">
        <v>26</v>
      </c>
      <c r="G149" s="2" t="s">
        <v>32</v>
      </c>
      <c r="H149" s="2" t="s">
        <v>28</v>
      </c>
      <c r="I149" s="2" t="s">
        <v>30</v>
      </c>
      <c r="J149" s="2">
        <v>2134.0</v>
      </c>
      <c r="K149" s="2">
        <v>1002.0</v>
      </c>
      <c r="L149" s="2">
        <v>459.0</v>
      </c>
      <c r="M149" s="2">
        <v>436.0</v>
      </c>
      <c r="N149" s="2">
        <v>276.0</v>
      </c>
      <c r="O149" s="2">
        <v>343.0</v>
      </c>
      <c r="P149" s="2">
        <v>309.0</v>
      </c>
      <c r="Q149" s="2">
        <v>0.0</v>
      </c>
      <c r="R149" s="2">
        <v>2409.0</v>
      </c>
      <c r="S149" s="2">
        <v>575.0</v>
      </c>
      <c r="T149" s="2">
        <v>1834.0</v>
      </c>
      <c r="U149" s="2">
        <v>527.0</v>
      </c>
      <c r="V149" s="2">
        <v>49.0</v>
      </c>
      <c r="W149" s="2">
        <v>1883.0</v>
      </c>
    </row>
    <row r="150" ht="15.0" customHeight="1">
      <c r="A150" s="2">
        <v>2024.0</v>
      </c>
      <c r="B150" s="2" t="s">
        <v>51</v>
      </c>
      <c r="C150" s="2">
        <v>7.0</v>
      </c>
      <c r="D150" s="2" t="s">
        <v>52</v>
      </c>
      <c r="E150" s="2" t="s">
        <v>25</v>
      </c>
      <c r="F150" s="2" t="s">
        <v>26</v>
      </c>
      <c r="G150" s="2" t="s">
        <v>32</v>
      </c>
      <c r="H150" s="2" t="s">
        <v>28</v>
      </c>
      <c r="I150" s="2" t="s">
        <v>31</v>
      </c>
      <c r="J150" s="2">
        <v>10738.0</v>
      </c>
      <c r="K150" s="2">
        <v>7205.0</v>
      </c>
      <c r="L150" s="2">
        <v>5198.0</v>
      </c>
      <c r="M150" s="2">
        <v>4911.0</v>
      </c>
      <c r="N150" s="2">
        <v>2979.0</v>
      </c>
      <c r="O150" s="2">
        <v>3699.0</v>
      </c>
      <c r="P150" s="2">
        <v>3292.0</v>
      </c>
      <c r="Q150" s="2">
        <v>0.0</v>
      </c>
      <c r="R150" s="2">
        <v>25511.0</v>
      </c>
      <c r="S150" s="2">
        <v>508.0</v>
      </c>
      <c r="T150" s="2">
        <v>25003.0</v>
      </c>
      <c r="U150" s="2">
        <v>508.0</v>
      </c>
      <c r="V150" s="2">
        <v>0.0</v>
      </c>
      <c r="W150" s="2">
        <v>25003.0</v>
      </c>
    </row>
    <row r="151" ht="15.0" customHeight="1">
      <c r="A151" s="2">
        <v>2024.0</v>
      </c>
      <c r="B151" s="2" t="s">
        <v>51</v>
      </c>
      <c r="C151" s="2">
        <v>7.0</v>
      </c>
      <c r="D151" s="2" t="s">
        <v>52</v>
      </c>
      <c r="E151" s="2" t="s">
        <v>25</v>
      </c>
      <c r="F151" s="2" t="s">
        <v>26</v>
      </c>
      <c r="G151" s="2" t="s">
        <v>33</v>
      </c>
      <c r="H151" s="2" t="s">
        <v>28</v>
      </c>
      <c r="I151" s="2" t="s">
        <v>29</v>
      </c>
      <c r="J151" s="2">
        <v>13783.0</v>
      </c>
      <c r="K151" s="2">
        <v>8259.0</v>
      </c>
      <c r="L151" s="2">
        <v>3882.0</v>
      </c>
      <c r="M151" s="2">
        <v>3738.0</v>
      </c>
      <c r="N151" s="2">
        <v>2022.0</v>
      </c>
      <c r="O151" s="2">
        <v>2474.0</v>
      </c>
      <c r="P151" s="2">
        <v>2314.0</v>
      </c>
      <c r="Q151" s="2">
        <v>590.0</v>
      </c>
      <c r="R151" s="2">
        <v>21874.0</v>
      </c>
      <c r="S151" s="2">
        <v>15938.0</v>
      </c>
      <c r="T151" s="2">
        <v>5937.0</v>
      </c>
      <c r="U151" s="2">
        <v>15788.0</v>
      </c>
      <c r="V151" s="2">
        <v>150.0</v>
      </c>
      <c r="W151" s="2">
        <v>6086.0</v>
      </c>
    </row>
    <row r="152" ht="15.0" customHeight="1">
      <c r="A152" s="2">
        <v>2024.0</v>
      </c>
      <c r="B152" s="2" t="s">
        <v>51</v>
      </c>
      <c r="C152" s="2">
        <v>7.0</v>
      </c>
      <c r="D152" s="2" t="s">
        <v>52</v>
      </c>
      <c r="E152" s="2" t="s">
        <v>25</v>
      </c>
      <c r="F152" s="2" t="s">
        <v>26</v>
      </c>
      <c r="G152" s="2" t="s">
        <v>33</v>
      </c>
      <c r="H152" s="2" t="s">
        <v>28</v>
      </c>
      <c r="I152" s="2" t="s">
        <v>30</v>
      </c>
      <c r="J152" s="2">
        <v>2827.0</v>
      </c>
      <c r="K152" s="2">
        <v>1628.0</v>
      </c>
      <c r="L152" s="2">
        <v>738.0</v>
      </c>
      <c r="M152" s="2">
        <v>704.0</v>
      </c>
      <c r="N152" s="2">
        <v>388.0</v>
      </c>
      <c r="O152" s="2">
        <v>473.0</v>
      </c>
      <c r="P152" s="2">
        <v>442.0</v>
      </c>
      <c r="Q152" s="2">
        <v>50.0</v>
      </c>
      <c r="R152" s="2">
        <v>3925.0</v>
      </c>
      <c r="S152" s="2">
        <v>1448.0</v>
      </c>
      <c r="T152" s="2">
        <v>2478.0</v>
      </c>
      <c r="U152" s="2">
        <v>1448.0</v>
      </c>
      <c r="V152" s="2">
        <v>0.0</v>
      </c>
      <c r="W152" s="2">
        <v>2478.0</v>
      </c>
    </row>
    <row r="153" ht="15.0" customHeight="1">
      <c r="A153" s="2">
        <v>2024.0</v>
      </c>
      <c r="B153" s="2" t="s">
        <v>51</v>
      </c>
      <c r="C153" s="2">
        <v>7.0</v>
      </c>
      <c r="D153" s="2" t="s">
        <v>52</v>
      </c>
      <c r="E153" s="2" t="s">
        <v>25</v>
      </c>
      <c r="F153" s="2" t="s">
        <v>26</v>
      </c>
      <c r="G153" s="2" t="s">
        <v>33</v>
      </c>
      <c r="H153" s="2" t="s">
        <v>28</v>
      </c>
      <c r="I153" s="2" t="s">
        <v>31</v>
      </c>
      <c r="J153" s="2">
        <v>454.0</v>
      </c>
      <c r="K153" s="2">
        <v>215.0</v>
      </c>
      <c r="L153" s="2">
        <v>182.0</v>
      </c>
      <c r="M153" s="2">
        <v>172.0</v>
      </c>
      <c r="N153" s="2">
        <v>94.0</v>
      </c>
      <c r="O153" s="2">
        <v>119.0</v>
      </c>
      <c r="P153" s="2">
        <v>114.0</v>
      </c>
      <c r="Q153" s="2">
        <v>16.0</v>
      </c>
      <c r="R153" s="2">
        <v>1084.0</v>
      </c>
      <c r="S153" s="2">
        <v>160.0</v>
      </c>
      <c r="T153" s="2">
        <v>924.0</v>
      </c>
      <c r="U153" s="2">
        <v>160.0</v>
      </c>
      <c r="V153" s="2">
        <v>0.0</v>
      </c>
      <c r="W153" s="2">
        <v>924.0</v>
      </c>
    </row>
    <row r="154" ht="15.0" customHeight="1">
      <c r="A154" s="2">
        <v>2024.0</v>
      </c>
      <c r="B154" s="2" t="s">
        <v>51</v>
      </c>
      <c r="C154" s="2">
        <v>7.0</v>
      </c>
      <c r="D154" s="2" t="s">
        <v>52</v>
      </c>
      <c r="E154" s="2" t="s">
        <v>25</v>
      </c>
      <c r="F154" s="2" t="s">
        <v>26</v>
      </c>
      <c r="G154" s="2" t="s">
        <v>34</v>
      </c>
      <c r="H154" s="2" t="s">
        <v>35</v>
      </c>
      <c r="I154" s="2" t="s">
        <v>29</v>
      </c>
      <c r="J154" s="2">
        <v>11830.0</v>
      </c>
      <c r="K154" s="2">
        <v>7758.0</v>
      </c>
      <c r="L154" s="2">
        <v>3942.0</v>
      </c>
      <c r="M154" s="2">
        <v>3760.0</v>
      </c>
      <c r="N154" s="2">
        <v>982.0</v>
      </c>
      <c r="O154" s="2">
        <v>1232.0</v>
      </c>
      <c r="P154" s="2">
        <v>1043.0</v>
      </c>
      <c r="Q154" s="2">
        <v>0.0</v>
      </c>
      <c r="R154" s="2">
        <v>14120.0</v>
      </c>
      <c r="S154" s="2">
        <v>9724.0</v>
      </c>
      <c r="T154" s="2">
        <v>4396.0</v>
      </c>
      <c r="U154" s="2">
        <v>8919.0</v>
      </c>
      <c r="V154" s="2">
        <v>804.0</v>
      </c>
      <c r="W154" s="2">
        <v>5201.0</v>
      </c>
    </row>
    <row r="155" ht="15.0" customHeight="1">
      <c r="A155" s="2">
        <v>2024.0</v>
      </c>
      <c r="B155" s="2" t="s">
        <v>51</v>
      </c>
      <c r="C155" s="2">
        <v>7.0</v>
      </c>
      <c r="D155" s="2" t="s">
        <v>52</v>
      </c>
      <c r="E155" s="2" t="s">
        <v>25</v>
      </c>
      <c r="F155" s="2" t="s">
        <v>26</v>
      </c>
      <c r="G155" s="2" t="s">
        <v>34</v>
      </c>
      <c r="H155" s="2" t="s">
        <v>35</v>
      </c>
      <c r="I155" s="2" t="s">
        <v>30</v>
      </c>
      <c r="J155" s="2">
        <v>2228.0</v>
      </c>
      <c r="K155" s="2">
        <v>1214.0</v>
      </c>
      <c r="L155" s="2">
        <v>574.0</v>
      </c>
      <c r="M155" s="2">
        <v>542.0</v>
      </c>
      <c r="N155" s="2">
        <v>148.0</v>
      </c>
      <c r="O155" s="2">
        <v>190.0</v>
      </c>
      <c r="P155" s="2">
        <v>160.0</v>
      </c>
      <c r="Q155" s="2">
        <v>0.0</v>
      </c>
      <c r="R155" s="2">
        <v>2265.0</v>
      </c>
      <c r="S155" s="2">
        <v>779.0</v>
      </c>
      <c r="T155" s="2">
        <v>1487.0</v>
      </c>
      <c r="U155" s="2">
        <v>779.0</v>
      </c>
      <c r="V155" s="2">
        <v>0.0</v>
      </c>
      <c r="W155" s="2">
        <v>1487.0</v>
      </c>
    </row>
    <row r="156" ht="15.0" customHeight="1">
      <c r="A156" s="2">
        <v>2024.0</v>
      </c>
      <c r="B156" s="2" t="s">
        <v>51</v>
      </c>
      <c r="C156" s="2">
        <v>7.0</v>
      </c>
      <c r="D156" s="2" t="s">
        <v>52</v>
      </c>
      <c r="E156" s="2" t="s">
        <v>25</v>
      </c>
      <c r="F156" s="2" t="s">
        <v>26</v>
      </c>
      <c r="G156" s="2" t="s">
        <v>34</v>
      </c>
      <c r="H156" s="2" t="s">
        <v>35</v>
      </c>
      <c r="I156" s="2" t="s">
        <v>31</v>
      </c>
      <c r="J156" s="2">
        <v>930.0</v>
      </c>
      <c r="K156" s="2">
        <v>630.0</v>
      </c>
      <c r="L156" s="2">
        <v>328.0</v>
      </c>
      <c r="M156" s="2">
        <v>301.0</v>
      </c>
      <c r="N156" s="2">
        <v>79.0</v>
      </c>
      <c r="O156" s="2">
        <v>107.0</v>
      </c>
      <c r="P156" s="2">
        <v>93.0</v>
      </c>
      <c r="Q156" s="2">
        <v>0.0</v>
      </c>
      <c r="R156" s="2">
        <v>1287.0</v>
      </c>
      <c r="S156" s="2">
        <v>5.0</v>
      </c>
      <c r="T156" s="2">
        <v>1282.0</v>
      </c>
      <c r="U156" s="2">
        <v>5.0</v>
      </c>
      <c r="V156" s="2">
        <v>0.0</v>
      </c>
      <c r="W156" s="2">
        <v>1282.0</v>
      </c>
    </row>
    <row r="157" ht="15.0" customHeight="1">
      <c r="A157" s="2">
        <v>2024.0</v>
      </c>
      <c r="B157" s="2" t="s">
        <v>51</v>
      </c>
      <c r="C157" s="2">
        <v>7.0</v>
      </c>
      <c r="D157" s="2" t="s">
        <v>52</v>
      </c>
      <c r="E157" s="2" t="s">
        <v>25</v>
      </c>
      <c r="F157" s="2" t="s">
        <v>26</v>
      </c>
      <c r="G157" s="2" t="s">
        <v>36</v>
      </c>
      <c r="H157" s="2" t="s">
        <v>35</v>
      </c>
      <c r="I157" s="2" t="s">
        <v>29</v>
      </c>
      <c r="J157" s="2">
        <v>6245.0</v>
      </c>
      <c r="K157" s="2">
        <v>4463.0</v>
      </c>
      <c r="L157" s="2">
        <v>2620.0</v>
      </c>
      <c r="M157" s="2">
        <v>2540.0</v>
      </c>
      <c r="N157" s="2">
        <v>1015.0</v>
      </c>
      <c r="O157" s="2">
        <v>1349.0</v>
      </c>
      <c r="P157" s="2">
        <v>1224.0</v>
      </c>
      <c r="Q157" s="2">
        <v>0.0</v>
      </c>
      <c r="R157" s="2">
        <v>12407.0</v>
      </c>
      <c r="S157" s="2">
        <v>6764.0</v>
      </c>
      <c r="T157" s="2">
        <v>5642.0</v>
      </c>
      <c r="U157" s="2">
        <v>6764.0</v>
      </c>
      <c r="V157" s="2">
        <v>0.0</v>
      </c>
      <c r="W157" s="2">
        <v>5642.0</v>
      </c>
    </row>
    <row r="158" ht="15.0" customHeight="1">
      <c r="A158" s="2">
        <v>2024.0</v>
      </c>
      <c r="B158" s="2" t="s">
        <v>51</v>
      </c>
      <c r="C158" s="2">
        <v>7.0</v>
      </c>
      <c r="D158" s="2" t="s">
        <v>52</v>
      </c>
      <c r="E158" s="2" t="s">
        <v>25</v>
      </c>
      <c r="F158" s="2" t="s">
        <v>26</v>
      </c>
      <c r="G158" s="2" t="s">
        <v>36</v>
      </c>
      <c r="H158" s="2" t="s">
        <v>35</v>
      </c>
      <c r="I158" s="2" t="s">
        <v>30</v>
      </c>
      <c r="J158" s="2">
        <v>501.0</v>
      </c>
      <c r="K158" s="2">
        <v>281.0</v>
      </c>
      <c r="L158" s="2">
        <v>170.0</v>
      </c>
      <c r="M158" s="2">
        <v>165.0</v>
      </c>
      <c r="N158" s="2">
        <v>64.0</v>
      </c>
      <c r="O158" s="2">
        <v>83.0</v>
      </c>
      <c r="P158" s="2">
        <v>74.0</v>
      </c>
      <c r="Q158" s="2">
        <v>0.0</v>
      </c>
      <c r="R158" s="2">
        <v>757.0</v>
      </c>
      <c r="S158" s="2">
        <v>213.0</v>
      </c>
      <c r="T158" s="2">
        <v>545.0</v>
      </c>
      <c r="U158" s="2">
        <v>213.0</v>
      </c>
      <c r="V158" s="2">
        <v>0.0</v>
      </c>
      <c r="W158" s="2">
        <v>545.0</v>
      </c>
    </row>
    <row r="159" ht="15.0" customHeight="1">
      <c r="A159" s="2">
        <v>2024.0</v>
      </c>
      <c r="B159" s="2" t="s">
        <v>51</v>
      </c>
      <c r="C159" s="2">
        <v>7.0</v>
      </c>
      <c r="D159" s="2" t="s">
        <v>52</v>
      </c>
      <c r="E159" s="2" t="s">
        <v>25</v>
      </c>
      <c r="F159" s="2" t="s">
        <v>26</v>
      </c>
      <c r="G159" s="2" t="s">
        <v>36</v>
      </c>
      <c r="H159" s="2" t="s">
        <v>35</v>
      </c>
      <c r="I159" s="2" t="s">
        <v>31</v>
      </c>
      <c r="J159" s="2">
        <v>631.0</v>
      </c>
      <c r="K159" s="2">
        <v>431.0</v>
      </c>
      <c r="L159" s="2">
        <v>256.0</v>
      </c>
      <c r="M159" s="2">
        <v>237.0</v>
      </c>
      <c r="N159" s="2">
        <v>103.0</v>
      </c>
      <c r="O159" s="2">
        <v>147.0</v>
      </c>
      <c r="P159" s="2">
        <v>131.0</v>
      </c>
      <c r="Q159" s="2">
        <v>0.0</v>
      </c>
      <c r="R159" s="2">
        <v>1295.0</v>
      </c>
      <c r="S159" s="2">
        <v>0.0</v>
      </c>
      <c r="T159" s="2">
        <v>1295.0</v>
      </c>
      <c r="U159" s="2">
        <v>0.0</v>
      </c>
      <c r="V159" s="2">
        <v>0.0</v>
      </c>
      <c r="W159" s="2">
        <v>1295.0</v>
      </c>
    </row>
    <row r="160" ht="15.0" customHeight="1">
      <c r="A160" s="2">
        <v>2024.0</v>
      </c>
      <c r="B160" s="2" t="s">
        <v>51</v>
      </c>
      <c r="C160" s="2">
        <v>7.0</v>
      </c>
      <c r="D160" s="2" t="s">
        <v>52</v>
      </c>
      <c r="E160" s="2" t="s">
        <v>25</v>
      </c>
      <c r="F160" s="2" t="s">
        <v>26</v>
      </c>
      <c r="G160" s="2" t="s">
        <v>37</v>
      </c>
      <c r="H160" s="2" t="s">
        <v>35</v>
      </c>
      <c r="I160" s="2" t="s">
        <v>29</v>
      </c>
      <c r="J160" s="2">
        <v>689.0</v>
      </c>
      <c r="K160" s="2">
        <v>357.0</v>
      </c>
      <c r="L160" s="2">
        <v>154.0</v>
      </c>
      <c r="M160" s="2">
        <v>144.0</v>
      </c>
      <c r="N160" s="2">
        <v>112.0</v>
      </c>
      <c r="O160" s="2">
        <v>332.0</v>
      </c>
      <c r="P160" s="2">
        <v>290.0</v>
      </c>
      <c r="Q160" s="2">
        <v>0.0</v>
      </c>
      <c r="R160" s="2">
        <v>6620.0</v>
      </c>
      <c r="S160" s="2">
        <v>1916.0</v>
      </c>
      <c r="T160" s="2">
        <v>4704.0</v>
      </c>
      <c r="U160" s="2">
        <v>1916.0</v>
      </c>
      <c r="V160" s="2">
        <v>0.0</v>
      </c>
      <c r="W160" s="2">
        <v>4704.0</v>
      </c>
    </row>
    <row r="161" ht="15.0" customHeight="1">
      <c r="A161" s="2">
        <v>2024.0</v>
      </c>
      <c r="B161" s="2" t="s">
        <v>51</v>
      </c>
      <c r="C161" s="2">
        <v>7.0</v>
      </c>
      <c r="D161" s="2" t="s">
        <v>52</v>
      </c>
      <c r="E161" s="2" t="s">
        <v>25</v>
      </c>
      <c r="F161" s="2" t="s">
        <v>26</v>
      </c>
      <c r="G161" s="2" t="s">
        <v>37</v>
      </c>
      <c r="H161" s="2" t="s">
        <v>35</v>
      </c>
      <c r="I161" s="2" t="s">
        <v>30</v>
      </c>
      <c r="J161" s="2">
        <v>0.0</v>
      </c>
      <c r="K161" s="2">
        <v>0.0</v>
      </c>
      <c r="L161" s="2">
        <v>0.0</v>
      </c>
      <c r="M161" s="2">
        <v>0.0</v>
      </c>
      <c r="N161" s="2">
        <v>0.0</v>
      </c>
      <c r="O161" s="2">
        <v>0.0</v>
      </c>
      <c r="P161" s="2">
        <v>0.0</v>
      </c>
      <c r="Q161" s="2">
        <v>0.0</v>
      </c>
      <c r="R161" s="2">
        <v>0.0</v>
      </c>
      <c r="S161" s="2">
        <v>0.0</v>
      </c>
      <c r="T161" s="2">
        <v>0.0</v>
      </c>
      <c r="U161" s="2">
        <v>0.0</v>
      </c>
      <c r="V161" s="2">
        <v>0.0</v>
      </c>
      <c r="W161" s="2">
        <v>0.0</v>
      </c>
    </row>
    <row r="162" ht="15.0" customHeight="1">
      <c r="A162" s="2">
        <v>2024.0</v>
      </c>
      <c r="B162" s="2" t="s">
        <v>51</v>
      </c>
      <c r="C162" s="2">
        <v>7.0</v>
      </c>
      <c r="D162" s="2" t="s">
        <v>52</v>
      </c>
      <c r="E162" s="2" t="s">
        <v>25</v>
      </c>
      <c r="F162" s="2" t="s">
        <v>26</v>
      </c>
      <c r="G162" s="2" t="s">
        <v>37</v>
      </c>
      <c r="H162" s="2" t="s">
        <v>35</v>
      </c>
      <c r="I162" s="2" t="s">
        <v>31</v>
      </c>
      <c r="J162" s="2">
        <v>29.0</v>
      </c>
      <c r="K162" s="2">
        <v>23.0</v>
      </c>
      <c r="L162" s="2">
        <v>14.0</v>
      </c>
      <c r="M162" s="2">
        <v>14.0</v>
      </c>
      <c r="N162" s="2">
        <v>12.0</v>
      </c>
      <c r="O162" s="2">
        <v>44.0</v>
      </c>
      <c r="P162" s="2">
        <v>40.0</v>
      </c>
      <c r="Q162" s="2">
        <v>0.0</v>
      </c>
      <c r="R162" s="2">
        <v>697.0</v>
      </c>
      <c r="S162" s="2">
        <v>0.0</v>
      </c>
      <c r="T162" s="2">
        <v>697.0</v>
      </c>
      <c r="U162" s="2">
        <v>0.0</v>
      </c>
      <c r="V162" s="2">
        <v>0.0</v>
      </c>
      <c r="W162" s="2">
        <v>697.0</v>
      </c>
    </row>
    <row r="163" ht="15.0" customHeight="1">
      <c r="A163" s="2">
        <v>2024.0</v>
      </c>
      <c r="B163" s="2" t="s">
        <v>51</v>
      </c>
      <c r="C163" s="2">
        <v>7.0</v>
      </c>
      <c r="D163" s="2" t="s">
        <v>52</v>
      </c>
      <c r="E163" s="2" t="s">
        <v>25</v>
      </c>
      <c r="F163" s="2" t="s">
        <v>26</v>
      </c>
      <c r="G163" s="2" t="s">
        <v>38</v>
      </c>
      <c r="H163" s="2" t="s">
        <v>35</v>
      </c>
      <c r="I163" s="2" t="s">
        <v>29</v>
      </c>
      <c r="J163" s="2">
        <v>3942.0</v>
      </c>
      <c r="K163" s="2">
        <v>2258.0</v>
      </c>
      <c r="L163" s="2">
        <v>1156.0</v>
      </c>
      <c r="M163" s="2">
        <v>1120.0</v>
      </c>
      <c r="N163" s="2">
        <v>653.0</v>
      </c>
      <c r="O163" s="2">
        <v>1098.0</v>
      </c>
      <c r="P163" s="2">
        <v>971.0</v>
      </c>
      <c r="Q163" s="2">
        <v>0.0</v>
      </c>
      <c r="R163" s="2">
        <v>14102.0</v>
      </c>
      <c r="S163" s="2">
        <v>6469.0</v>
      </c>
      <c r="T163" s="2">
        <v>7633.0</v>
      </c>
      <c r="U163" s="2">
        <v>6338.0</v>
      </c>
      <c r="V163" s="2">
        <v>132.0</v>
      </c>
      <c r="W163" s="2">
        <v>7764.0</v>
      </c>
    </row>
    <row r="164" ht="15.0" customHeight="1">
      <c r="A164" s="2">
        <v>2024.0</v>
      </c>
      <c r="B164" s="2" t="s">
        <v>51</v>
      </c>
      <c r="C164" s="2">
        <v>7.0</v>
      </c>
      <c r="D164" s="2" t="s">
        <v>52</v>
      </c>
      <c r="E164" s="2" t="s">
        <v>25</v>
      </c>
      <c r="F164" s="2" t="s">
        <v>26</v>
      </c>
      <c r="G164" s="2" t="s">
        <v>38</v>
      </c>
      <c r="H164" s="2" t="s">
        <v>35</v>
      </c>
      <c r="I164" s="2" t="s">
        <v>30</v>
      </c>
      <c r="J164" s="2">
        <v>3908.0</v>
      </c>
      <c r="K164" s="2">
        <v>1628.0</v>
      </c>
      <c r="L164" s="2">
        <v>941.0</v>
      </c>
      <c r="M164" s="2">
        <v>910.0</v>
      </c>
      <c r="N164" s="2">
        <v>480.0</v>
      </c>
      <c r="O164" s="2">
        <v>725.0</v>
      </c>
      <c r="P164" s="2">
        <v>645.0</v>
      </c>
      <c r="Q164" s="2">
        <v>0.0</v>
      </c>
      <c r="R164" s="2">
        <v>9104.0</v>
      </c>
      <c r="S164" s="2">
        <v>8751.0</v>
      </c>
      <c r="T164" s="2">
        <v>354.0</v>
      </c>
      <c r="U164" s="2">
        <v>8750.0</v>
      </c>
      <c r="V164" s="2">
        <v>0.0</v>
      </c>
      <c r="W164" s="2">
        <v>354.0</v>
      </c>
    </row>
    <row r="165" ht="15.0" customHeight="1">
      <c r="A165" s="2">
        <v>2024.0</v>
      </c>
      <c r="B165" s="2" t="s">
        <v>51</v>
      </c>
      <c r="C165" s="2">
        <v>7.0</v>
      </c>
      <c r="D165" s="2" t="s">
        <v>52</v>
      </c>
      <c r="E165" s="2" t="s">
        <v>25</v>
      </c>
      <c r="F165" s="2" t="s">
        <v>26</v>
      </c>
      <c r="G165" s="2" t="s">
        <v>38</v>
      </c>
      <c r="H165" s="2" t="s">
        <v>35</v>
      </c>
      <c r="I165" s="2" t="s">
        <v>31</v>
      </c>
      <c r="J165" s="2">
        <v>635.0</v>
      </c>
      <c r="K165" s="2">
        <v>349.0</v>
      </c>
      <c r="L165" s="2">
        <v>189.0</v>
      </c>
      <c r="M165" s="2">
        <v>172.0</v>
      </c>
      <c r="N165" s="2">
        <v>106.0</v>
      </c>
      <c r="O165" s="2">
        <v>188.0</v>
      </c>
      <c r="P165" s="2">
        <v>170.0</v>
      </c>
      <c r="Q165" s="2">
        <v>0.0</v>
      </c>
      <c r="R165" s="2">
        <v>2446.0</v>
      </c>
      <c r="S165" s="2">
        <v>0.0</v>
      </c>
      <c r="T165" s="2">
        <v>2446.0</v>
      </c>
      <c r="U165" s="2">
        <v>0.0</v>
      </c>
      <c r="V165" s="2">
        <v>0.0</v>
      </c>
      <c r="W165" s="2">
        <v>2446.0</v>
      </c>
    </row>
    <row r="166" ht="15.0" customHeight="1">
      <c r="A166" s="2">
        <v>2024.0</v>
      </c>
      <c r="B166" s="2" t="s">
        <v>51</v>
      </c>
      <c r="C166" s="2">
        <v>7.0</v>
      </c>
      <c r="D166" s="2" t="s">
        <v>52</v>
      </c>
      <c r="E166" s="2" t="s">
        <v>25</v>
      </c>
      <c r="F166" s="2" t="s">
        <v>26</v>
      </c>
      <c r="G166" s="2" t="s">
        <v>39</v>
      </c>
      <c r="H166" s="2" t="s">
        <v>40</v>
      </c>
      <c r="I166" s="2" t="s">
        <v>29</v>
      </c>
      <c r="J166" s="2">
        <v>12120.0</v>
      </c>
      <c r="K166" s="2">
        <v>8012.0</v>
      </c>
      <c r="L166" s="2">
        <v>4462.0</v>
      </c>
      <c r="M166" s="2">
        <v>4248.0</v>
      </c>
      <c r="N166" s="2">
        <v>1450.0</v>
      </c>
      <c r="O166" s="2">
        <v>1852.0</v>
      </c>
      <c r="P166" s="2">
        <v>1636.0</v>
      </c>
      <c r="Q166" s="2">
        <v>0.0</v>
      </c>
      <c r="R166" s="2">
        <v>22279.0</v>
      </c>
      <c r="S166" s="2">
        <v>12092.0</v>
      </c>
      <c r="T166" s="2">
        <v>10187.0</v>
      </c>
      <c r="U166" s="2">
        <v>12092.0</v>
      </c>
      <c r="V166" s="2">
        <v>0.0</v>
      </c>
      <c r="W166" s="2">
        <v>10187.0</v>
      </c>
    </row>
    <row r="167" ht="15.0" customHeight="1">
      <c r="A167" s="2">
        <v>2024.0</v>
      </c>
      <c r="B167" s="2" t="s">
        <v>51</v>
      </c>
      <c r="C167" s="2">
        <v>7.0</v>
      </c>
      <c r="D167" s="2" t="s">
        <v>52</v>
      </c>
      <c r="E167" s="2" t="s">
        <v>25</v>
      </c>
      <c r="F167" s="2" t="s">
        <v>26</v>
      </c>
      <c r="G167" s="2" t="s">
        <v>39</v>
      </c>
      <c r="H167" s="2" t="s">
        <v>40</v>
      </c>
      <c r="I167" s="2" t="s">
        <v>30</v>
      </c>
      <c r="J167" s="2">
        <v>3589.0</v>
      </c>
      <c r="K167" s="2">
        <v>1754.0</v>
      </c>
      <c r="L167" s="2">
        <v>762.0</v>
      </c>
      <c r="M167" s="2">
        <v>728.0</v>
      </c>
      <c r="N167" s="2">
        <v>238.0</v>
      </c>
      <c r="O167" s="2">
        <v>310.0</v>
      </c>
      <c r="P167" s="2">
        <v>272.0</v>
      </c>
      <c r="Q167" s="2">
        <v>0.0</v>
      </c>
      <c r="R167" s="2">
        <v>3766.0</v>
      </c>
      <c r="S167" s="2">
        <v>3086.0</v>
      </c>
      <c r="T167" s="2">
        <v>680.0</v>
      </c>
      <c r="U167" s="2">
        <v>3074.0</v>
      </c>
      <c r="V167" s="2">
        <v>12.0</v>
      </c>
      <c r="W167" s="2">
        <v>692.0</v>
      </c>
    </row>
    <row r="168" ht="15.0" customHeight="1">
      <c r="A168" s="2">
        <v>2024.0</v>
      </c>
      <c r="B168" s="2" t="s">
        <v>51</v>
      </c>
      <c r="C168" s="2">
        <v>7.0</v>
      </c>
      <c r="D168" s="2" t="s">
        <v>52</v>
      </c>
      <c r="E168" s="2" t="s">
        <v>25</v>
      </c>
      <c r="F168" s="2" t="s">
        <v>26</v>
      </c>
      <c r="G168" s="2" t="s">
        <v>39</v>
      </c>
      <c r="H168" s="2" t="s">
        <v>40</v>
      </c>
      <c r="I168" s="2" t="s">
        <v>31</v>
      </c>
      <c r="J168" s="2">
        <v>3683.0</v>
      </c>
      <c r="K168" s="2">
        <v>2413.0</v>
      </c>
      <c r="L168" s="2">
        <v>1254.0</v>
      </c>
      <c r="M168" s="2">
        <v>1092.0</v>
      </c>
      <c r="N168" s="2">
        <v>350.0</v>
      </c>
      <c r="O168" s="2">
        <v>463.0</v>
      </c>
      <c r="P168" s="2">
        <v>425.0</v>
      </c>
      <c r="Q168" s="2">
        <v>0.0</v>
      </c>
      <c r="R168" s="2">
        <v>5867.0</v>
      </c>
      <c r="S168" s="2">
        <v>0.0</v>
      </c>
      <c r="T168" s="2">
        <v>5867.0</v>
      </c>
      <c r="U168" s="2">
        <v>0.0</v>
      </c>
      <c r="V168" s="2">
        <v>0.0</v>
      </c>
      <c r="W168" s="2">
        <v>5867.0</v>
      </c>
    </row>
    <row r="169" ht="15.0" customHeight="1">
      <c r="A169" s="2">
        <v>2024.0</v>
      </c>
      <c r="B169" s="2" t="s">
        <v>51</v>
      </c>
      <c r="C169" s="2">
        <v>7.0</v>
      </c>
      <c r="D169" s="2" t="s">
        <v>52</v>
      </c>
      <c r="E169" s="2" t="s">
        <v>25</v>
      </c>
      <c r="F169" s="2" t="s">
        <v>26</v>
      </c>
      <c r="G169" s="2" t="s">
        <v>41</v>
      </c>
      <c r="H169" s="2" t="s">
        <v>42</v>
      </c>
      <c r="I169" s="2" t="s">
        <v>29</v>
      </c>
      <c r="J169" s="2">
        <v>35150.0</v>
      </c>
      <c r="K169" s="2">
        <v>21434.0</v>
      </c>
      <c r="L169" s="2">
        <v>11470.0</v>
      </c>
      <c r="M169" s="2">
        <v>10876.0</v>
      </c>
      <c r="N169" s="2">
        <v>4793.0</v>
      </c>
      <c r="O169" s="2">
        <v>5832.0</v>
      </c>
      <c r="P169" s="2">
        <v>5208.0</v>
      </c>
      <c r="Q169" s="2">
        <v>0.0</v>
      </c>
      <c r="R169" s="2">
        <v>43236.0</v>
      </c>
      <c r="S169" s="2">
        <v>28982.0</v>
      </c>
      <c r="T169" s="2">
        <v>14255.0</v>
      </c>
      <c r="U169" s="2">
        <v>27407.0</v>
      </c>
      <c r="V169" s="2">
        <v>1574.0</v>
      </c>
      <c r="W169" s="2">
        <v>15829.0</v>
      </c>
    </row>
    <row r="170" ht="15.0" customHeight="1">
      <c r="A170" s="2">
        <v>2024.0</v>
      </c>
      <c r="B170" s="2" t="s">
        <v>51</v>
      </c>
      <c r="C170" s="2">
        <v>7.0</v>
      </c>
      <c r="D170" s="2" t="s">
        <v>52</v>
      </c>
      <c r="E170" s="2" t="s">
        <v>25</v>
      </c>
      <c r="F170" s="2" t="s">
        <v>26</v>
      </c>
      <c r="G170" s="2" t="s">
        <v>41</v>
      </c>
      <c r="H170" s="2" t="s">
        <v>42</v>
      </c>
      <c r="I170" s="2" t="s">
        <v>30</v>
      </c>
      <c r="J170" s="2">
        <v>9976.0</v>
      </c>
      <c r="K170" s="2">
        <v>4811.0</v>
      </c>
      <c r="L170" s="2">
        <v>2718.0</v>
      </c>
      <c r="M170" s="2">
        <v>2600.0</v>
      </c>
      <c r="N170" s="2">
        <v>1042.0</v>
      </c>
      <c r="O170" s="2">
        <v>1269.0</v>
      </c>
      <c r="P170" s="2">
        <v>1117.0</v>
      </c>
      <c r="Q170" s="2">
        <v>0.0</v>
      </c>
      <c r="R170" s="2">
        <v>9117.0</v>
      </c>
      <c r="S170" s="2">
        <v>6754.0</v>
      </c>
      <c r="T170" s="2">
        <v>2364.0</v>
      </c>
      <c r="U170" s="2">
        <v>6706.0</v>
      </c>
      <c r="V170" s="2">
        <v>48.0</v>
      </c>
      <c r="W170" s="2">
        <v>2411.0</v>
      </c>
    </row>
    <row r="171" ht="15.0" customHeight="1">
      <c r="A171" s="2">
        <v>2024.0</v>
      </c>
      <c r="B171" s="2" t="s">
        <v>51</v>
      </c>
      <c r="C171" s="2">
        <v>7.0</v>
      </c>
      <c r="D171" s="2" t="s">
        <v>52</v>
      </c>
      <c r="E171" s="2" t="s">
        <v>25</v>
      </c>
      <c r="F171" s="2" t="s">
        <v>26</v>
      </c>
      <c r="G171" s="2" t="s">
        <v>41</v>
      </c>
      <c r="H171" s="2" t="s">
        <v>42</v>
      </c>
      <c r="I171" s="2" t="s">
        <v>31</v>
      </c>
      <c r="J171" s="2">
        <v>15588.0</v>
      </c>
      <c r="K171" s="2">
        <v>10899.0</v>
      </c>
      <c r="L171" s="2">
        <v>8504.0</v>
      </c>
      <c r="M171" s="2">
        <v>7754.0</v>
      </c>
      <c r="N171" s="2">
        <v>2928.0</v>
      </c>
      <c r="O171" s="2">
        <v>3529.0</v>
      </c>
      <c r="P171" s="2">
        <v>3112.0</v>
      </c>
      <c r="Q171" s="2">
        <v>0.0</v>
      </c>
      <c r="R171" s="2">
        <v>25808.0</v>
      </c>
      <c r="S171" s="2">
        <v>344.0</v>
      </c>
      <c r="T171" s="2">
        <v>25464.0</v>
      </c>
      <c r="U171" s="2">
        <v>344.0</v>
      </c>
      <c r="V171" s="2">
        <v>0.0</v>
      </c>
      <c r="W171" s="2">
        <v>25464.0</v>
      </c>
    </row>
    <row r="172" ht="15.0" customHeight="1">
      <c r="A172" s="2">
        <v>2024.0</v>
      </c>
      <c r="B172" s="2" t="s">
        <v>51</v>
      </c>
      <c r="C172" s="2">
        <v>7.0</v>
      </c>
      <c r="D172" s="2" t="s">
        <v>52</v>
      </c>
      <c r="E172" s="2" t="s">
        <v>25</v>
      </c>
      <c r="F172" s="2" t="s">
        <v>26</v>
      </c>
      <c r="G172" s="2" t="s">
        <v>43</v>
      </c>
      <c r="H172" s="2" t="s">
        <v>42</v>
      </c>
      <c r="I172" s="2" t="s">
        <v>29</v>
      </c>
      <c r="J172" s="2">
        <v>4680.0</v>
      </c>
      <c r="K172" s="2">
        <v>2240.0</v>
      </c>
      <c r="L172" s="2">
        <v>1187.0</v>
      </c>
      <c r="M172" s="2">
        <v>1091.0</v>
      </c>
      <c r="N172" s="2">
        <v>314.0</v>
      </c>
      <c r="O172" s="2">
        <v>661.0</v>
      </c>
      <c r="P172" s="2">
        <v>550.0</v>
      </c>
      <c r="Q172" s="2">
        <v>1.0</v>
      </c>
      <c r="R172" s="2">
        <v>16290.0</v>
      </c>
      <c r="S172" s="2">
        <v>11487.0</v>
      </c>
      <c r="T172" s="2">
        <v>4803.0</v>
      </c>
      <c r="U172" s="2">
        <v>10764.0</v>
      </c>
      <c r="V172" s="2">
        <v>724.0</v>
      </c>
      <c r="W172" s="2">
        <v>5526.0</v>
      </c>
    </row>
    <row r="173" ht="15.0" customHeight="1">
      <c r="A173" s="2">
        <v>2024.0</v>
      </c>
      <c r="B173" s="2" t="s">
        <v>51</v>
      </c>
      <c r="C173" s="2">
        <v>7.0</v>
      </c>
      <c r="D173" s="2" t="s">
        <v>52</v>
      </c>
      <c r="E173" s="2" t="s">
        <v>25</v>
      </c>
      <c r="F173" s="2" t="s">
        <v>26</v>
      </c>
      <c r="G173" s="2" t="s">
        <v>43</v>
      </c>
      <c r="H173" s="2" t="s">
        <v>42</v>
      </c>
      <c r="I173" s="2" t="s">
        <v>30</v>
      </c>
      <c r="J173" s="2">
        <v>811.0</v>
      </c>
      <c r="K173" s="2">
        <v>234.0</v>
      </c>
      <c r="L173" s="2">
        <v>81.0</v>
      </c>
      <c r="M173" s="2">
        <v>78.0</v>
      </c>
      <c r="N173" s="2">
        <v>21.0</v>
      </c>
      <c r="O173" s="2">
        <v>60.0</v>
      </c>
      <c r="P173" s="2">
        <v>55.0</v>
      </c>
      <c r="Q173" s="2">
        <v>0.0</v>
      </c>
      <c r="R173" s="2">
        <v>1730.0</v>
      </c>
      <c r="S173" s="2">
        <v>947.0</v>
      </c>
      <c r="T173" s="2">
        <v>783.0</v>
      </c>
      <c r="U173" s="2">
        <v>947.0</v>
      </c>
      <c r="V173" s="2">
        <v>0.0</v>
      </c>
      <c r="W173" s="2">
        <v>783.0</v>
      </c>
    </row>
    <row r="174" ht="15.0" customHeight="1">
      <c r="A174" s="2">
        <v>2024.0</v>
      </c>
      <c r="B174" s="2" t="s">
        <v>51</v>
      </c>
      <c r="C174" s="2">
        <v>7.0</v>
      </c>
      <c r="D174" s="2" t="s">
        <v>52</v>
      </c>
      <c r="E174" s="2" t="s">
        <v>25</v>
      </c>
      <c r="F174" s="2" t="s">
        <v>26</v>
      </c>
      <c r="G174" s="2" t="s">
        <v>43</v>
      </c>
      <c r="H174" s="2" t="s">
        <v>42</v>
      </c>
      <c r="I174" s="2" t="s">
        <v>31</v>
      </c>
      <c r="J174" s="2">
        <v>278.0</v>
      </c>
      <c r="K174" s="2">
        <v>185.0</v>
      </c>
      <c r="L174" s="2">
        <v>120.0</v>
      </c>
      <c r="M174" s="2">
        <v>92.0</v>
      </c>
      <c r="N174" s="2">
        <v>29.0</v>
      </c>
      <c r="O174" s="2">
        <v>76.0</v>
      </c>
      <c r="P174" s="2">
        <v>63.0</v>
      </c>
      <c r="Q174" s="2">
        <v>1.0</v>
      </c>
      <c r="R174" s="2">
        <v>2014.0</v>
      </c>
      <c r="S174" s="2">
        <v>0.0</v>
      </c>
      <c r="T174" s="2">
        <v>2014.0</v>
      </c>
      <c r="U174" s="2">
        <v>0.0</v>
      </c>
      <c r="V174" s="2">
        <v>0.0</v>
      </c>
      <c r="W174" s="2">
        <v>2014.0</v>
      </c>
    </row>
    <row r="175" ht="15.0" customHeight="1">
      <c r="A175" s="2">
        <v>2024.0</v>
      </c>
      <c r="B175" s="2" t="s">
        <v>51</v>
      </c>
      <c r="C175" s="2">
        <v>7.0</v>
      </c>
      <c r="D175" s="2" t="s">
        <v>52</v>
      </c>
      <c r="E175" s="2" t="s">
        <v>25</v>
      </c>
      <c r="F175" s="2" t="s">
        <v>26</v>
      </c>
      <c r="G175" s="2" t="s">
        <v>44</v>
      </c>
      <c r="H175" s="2" t="s">
        <v>45</v>
      </c>
      <c r="I175" s="2" t="s">
        <v>29</v>
      </c>
      <c r="J175" s="2">
        <v>5368.0</v>
      </c>
      <c r="K175" s="2">
        <v>3152.0</v>
      </c>
      <c r="L175" s="2">
        <v>1230.0</v>
      </c>
      <c r="M175" s="2">
        <v>1172.0</v>
      </c>
      <c r="N175" s="2">
        <v>839.0</v>
      </c>
      <c r="O175" s="2">
        <v>1617.0</v>
      </c>
      <c r="P175" s="2">
        <v>1484.0</v>
      </c>
      <c r="Q175" s="2">
        <v>775.0</v>
      </c>
      <c r="R175" s="2">
        <v>57920.0</v>
      </c>
      <c r="S175" s="2">
        <v>35342.0</v>
      </c>
      <c r="T175" s="2">
        <v>22578.0</v>
      </c>
      <c r="U175" s="2">
        <v>34049.0</v>
      </c>
      <c r="V175" s="2">
        <v>1293.0</v>
      </c>
      <c r="W175" s="2">
        <v>23871.0</v>
      </c>
    </row>
    <row r="176" ht="15.0" customHeight="1">
      <c r="A176" s="2">
        <v>2024.0</v>
      </c>
      <c r="B176" s="2" t="s">
        <v>51</v>
      </c>
      <c r="C176" s="2">
        <v>7.0</v>
      </c>
      <c r="D176" s="2" t="s">
        <v>52</v>
      </c>
      <c r="E176" s="2" t="s">
        <v>25</v>
      </c>
      <c r="F176" s="2" t="s">
        <v>26</v>
      </c>
      <c r="G176" s="2" t="s">
        <v>44</v>
      </c>
      <c r="H176" s="2" t="s">
        <v>45</v>
      </c>
      <c r="I176" s="2" t="s">
        <v>30</v>
      </c>
      <c r="J176" s="2">
        <v>1482.0</v>
      </c>
      <c r="K176" s="2">
        <v>603.0</v>
      </c>
      <c r="L176" s="2">
        <v>185.0</v>
      </c>
      <c r="M176" s="2">
        <v>177.0</v>
      </c>
      <c r="N176" s="2">
        <v>113.0</v>
      </c>
      <c r="O176" s="2">
        <v>220.0</v>
      </c>
      <c r="P176" s="2">
        <v>205.0</v>
      </c>
      <c r="Q176" s="2">
        <v>92.0</v>
      </c>
      <c r="R176" s="2">
        <v>7298.0</v>
      </c>
      <c r="S176" s="2">
        <v>3921.0</v>
      </c>
      <c r="T176" s="2">
        <v>3377.0</v>
      </c>
      <c r="U176" s="2">
        <v>3903.0</v>
      </c>
      <c r="V176" s="2">
        <v>18.0</v>
      </c>
      <c r="W176" s="2">
        <v>3395.0</v>
      </c>
    </row>
    <row r="177" ht="15.0" customHeight="1">
      <c r="A177" s="2">
        <v>2024.0</v>
      </c>
      <c r="B177" s="2" t="s">
        <v>51</v>
      </c>
      <c r="C177" s="2">
        <v>7.0</v>
      </c>
      <c r="D177" s="2" t="s">
        <v>52</v>
      </c>
      <c r="E177" s="2" t="s">
        <v>25</v>
      </c>
      <c r="F177" s="2" t="s">
        <v>26</v>
      </c>
      <c r="G177" s="2" t="s">
        <v>44</v>
      </c>
      <c r="H177" s="2" t="s">
        <v>45</v>
      </c>
      <c r="I177" s="2" t="s">
        <v>31</v>
      </c>
      <c r="J177" s="2">
        <v>985.0</v>
      </c>
      <c r="K177" s="2">
        <v>495.0</v>
      </c>
      <c r="L177" s="2">
        <v>173.0</v>
      </c>
      <c r="M177" s="2">
        <v>148.0</v>
      </c>
      <c r="N177" s="2">
        <v>101.0</v>
      </c>
      <c r="O177" s="2">
        <v>206.0</v>
      </c>
      <c r="P177" s="2">
        <v>190.0</v>
      </c>
      <c r="Q177" s="2">
        <v>82.0</v>
      </c>
      <c r="R177" s="2">
        <v>7366.0</v>
      </c>
      <c r="S177" s="2">
        <v>0.0</v>
      </c>
      <c r="T177" s="2">
        <v>7366.0</v>
      </c>
      <c r="U177" s="2">
        <v>0.0</v>
      </c>
      <c r="V177" s="2">
        <v>0.0</v>
      </c>
      <c r="W177" s="2">
        <v>7366.0</v>
      </c>
    </row>
    <row r="178" ht="15.0" customHeight="1">
      <c r="A178" s="2">
        <v>2024.0</v>
      </c>
      <c r="B178" s="2" t="s">
        <v>51</v>
      </c>
      <c r="C178" s="2">
        <v>7.0</v>
      </c>
      <c r="D178" s="2" t="s">
        <v>52</v>
      </c>
      <c r="E178" s="2" t="s">
        <v>25</v>
      </c>
      <c r="F178" s="2" t="s">
        <v>26</v>
      </c>
      <c r="G178" s="2" t="s">
        <v>46</v>
      </c>
      <c r="H178" s="2" t="s">
        <v>47</v>
      </c>
      <c r="I178" s="2" t="s">
        <v>29</v>
      </c>
      <c r="J178" s="2">
        <v>9371.0</v>
      </c>
      <c r="K178" s="2">
        <v>4537.0</v>
      </c>
      <c r="L178" s="2">
        <v>1642.0</v>
      </c>
      <c r="M178" s="2">
        <v>1570.0</v>
      </c>
      <c r="N178" s="2">
        <v>1309.0</v>
      </c>
      <c r="O178" s="2">
        <v>2651.0</v>
      </c>
      <c r="P178" s="2">
        <v>1952.0</v>
      </c>
      <c r="Q178" s="2">
        <v>475.0</v>
      </c>
      <c r="R178" s="2">
        <v>67625.0</v>
      </c>
      <c r="S178" s="2">
        <v>47629.0</v>
      </c>
      <c r="T178" s="2">
        <v>19997.0</v>
      </c>
      <c r="U178" s="2">
        <v>47629.0</v>
      </c>
      <c r="V178" s="2">
        <v>0.0</v>
      </c>
      <c r="W178" s="2">
        <v>19997.0</v>
      </c>
    </row>
    <row r="179" ht="15.0" customHeight="1">
      <c r="A179" s="2">
        <v>2024.0</v>
      </c>
      <c r="B179" s="2" t="s">
        <v>51</v>
      </c>
      <c r="C179" s="2">
        <v>7.0</v>
      </c>
      <c r="D179" s="2" t="s">
        <v>52</v>
      </c>
      <c r="E179" s="2" t="s">
        <v>25</v>
      </c>
      <c r="F179" s="2" t="s">
        <v>26</v>
      </c>
      <c r="G179" s="2" t="s">
        <v>46</v>
      </c>
      <c r="H179" s="2" t="s">
        <v>47</v>
      </c>
      <c r="I179" s="2" t="s">
        <v>30</v>
      </c>
      <c r="J179" s="2">
        <v>1227.0</v>
      </c>
      <c r="K179" s="2">
        <v>433.0</v>
      </c>
      <c r="L179" s="2">
        <v>162.0</v>
      </c>
      <c r="M179" s="2">
        <v>149.0</v>
      </c>
      <c r="N179" s="2">
        <v>133.0</v>
      </c>
      <c r="O179" s="2">
        <v>288.0</v>
      </c>
      <c r="P179" s="2">
        <v>215.0</v>
      </c>
      <c r="Q179" s="2">
        <v>58.0</v>
      </c>
      <c r="R179" s="2">
        <v>8206.0</v>
      </c>
      <c r="S179" s="2">
        <v>3913.0</v>
      </c>
      <c r="T179" s="2">
        <v>4293.0</v>
      </c>
      <c r="U179" s="2">
        <v>3910.0</v>
      </c>
      <c r="V179" s="2">
        <v>3.0</v>
      </c>
      <c r="W179" s="2">
        <v>4296.0</v>
      </c>
    </row>
    <row r="180" ht="15.0" customHeight="1">
      <c r="A180" s="2">
        <v>2024.0</v>
      </c>
      <c r="B180" s="2" t="s">
        <v>51</v>
      </c>
      <c r="C180" s="2">
        <v>7.0</v>
      </c>
      <c r="D180" s="2" t="s">
        <v>52</v>
      </c>
      <c r="E180" s="2" t="s">
        <v>25</v>
      </c>
      <c r="F180" s="2" t="s">
        <v>26</v>
      </c>
      <c r="G180" s="2" t="s">
        <v>46</v>
      </c>
      <c r="H180" s="2" t="s">
        <v>47</v>
      </c>
      <c r="I180" s="2" t="s">
        <v>31</v>
      </c>
      <c r="J180" s="2">
        <v>1836.0</v>
      </c>
      <c r="K180" s="2">
        <v>998.0</v>
      </c>
      <c r="L180" s="2">
        <v>355.0</v>
      </c>
      <c r="M180" s="2">
        <v>292.0</v>
      </c>
      <c r="N180" s="2">
        <v>265.0</v>
      </c>
      <c r="O180" s="2">
        <v>580.0</v>
      </c>
      <c r="P180" s="2">
        <v>435.0</v>
      </c>
      <c r="Q180" s="2">
        <v>169.0</v>
      </c>
      <c r="R180" s="2">
        <v>16210.0</v>
      </c>
      <c r="S180" s="2">
        <v>4590.0</v>
      </c>
      <c r="T180" s="2">
        <v>11620.0</v>
      </c>
      <c r="U180" s="2">
        <v>4590.0</v>
      </c>
      <c r="V180" s="2">
        <v>0.0</v>
      </c>
      <c r="W180" s="2">
        <v>11620.0</v>
      </c>
    </row>
    <row r="181" ht="15.0" customHeight="1">
      <c r="A181" s="2">
        <v>2024.0</v>
      </c>
      <c r="B181" s="2" t="s">
        <v>51</v>
      </c>
      <c r="C181" s="2">
        <v>7.0</v>
      </c>
      <c r="D181" s="2" t="s">
        <v>52</v>
      </c>
      <c r="E181" s="2" t="s">
        <v>25</v>
      </c>
      <c r="F181" s="2" t="s">
        <v>48</v>
      </c>
      <c r="G181" s="2" t="s">
        <v>27</v>
      </c>
      <c r="H181" s="2" t="s">
        <v>28</v>
      </c>
      <c r="I181" s="2" t="s">
        <v>29</v>
      </c>
      <c r="J181" s="2">
        <v>5551.0</v>
      </c>
      <c r="K181" s="2">
        <v>2942.0</v>
      </c>
      <c r="L181" s="2">
        <v>1210.0</v>
      </c>
      <c r="M181" s="2">
        <v>1162.0</v>
      </c>
      <c r="N181" s="2">
        <v>615.0</v>
      </c>
      <c r="O181" s="2">
        <v>1015.0</v>
      </c>
      <c r="P181" s="2">
        <v>948.0</v>
      </c>
      <c r="Q181" s="2">
        <v>0.0</v>
      </c>
      <c r="R181" s="2">
        <v>29284.0</v>
      </c>
      <c r="S181" s="2">
        <v>16120.0</v>
      </c>
      <c r="T181" s="2">
        <v>13164.0</v>
      </c>
      <c r="U181" s="2">
        <v>15966.0</v>
      </c>
      <c r="V181" s="2">
        <v>154.0</v>
      </c>
      <c r="W181" s="2">
        <v>13318.0</v>
      </c>
    </row>
    <row r="182" ht="15.0" customHeight="1">
      <c r="A182" s="2">
        <v>2024.0</v>
      </c>
      <c r="B182" s="2" t="s">
        <v>51</v>
      </c>
      <c r="C182" s="2">
        <v>7.0</v>
      </c>
      <c r="D182" s="2" t="s">
        <v>52</v>
      </c>
      <c r="E182" s="2" t="s">
        <v>25</v>
      </c>
      <c r="F182" s="2" t="s">
        <v>48</v>
      </c>
      <c r="G182" s="2" t="s">
        <v>27</v>
      </c>
      <c r="H182" s="2" t="s">
        <v>28</v>
      </c>
      <c r="I182" s="2" t="s">
        <v>30</v>
      </c>
      <c r="J182" s="2">
        <v>2701.0</v>
      </c>
      <c r="K182" s="2">
        <v>877.0</v>
      </c>
      <c r="L182" s="2">
        <v>301.0</v>
      </c>
      <c r="M182" s="2">
        <v>287.0</v>
      </c>
      <c r="N182" s="2">
        <v>145.0</v>
      </c>
      <c r="O182" s="2">
        <v>221.0</v>
      </c>
      <c r="P182" s="2">
        <v>209.0</v>
      </c>
      <c r="Q182" s="2">
        <v>0.0</v>
      </c>
      <c r="R182" s="2">
        <v>6276.0</v>
      </c>
      <c r="S182" s="2">
        <v>2901.0</v>
      </c>
      <c r="T182" s="2">
        <v>3376.0</v>
      </c>
      <c r="U182" s="2">
        <v>2901.0</v>
      </c>
      <c r="V182" s="2">
        <v>0.0</v>
      </c>
      <c r="W182" s="2">
        <v>3376.0</v>
      </c>
    </row>
    <row r="183" ht="15.0" customHeight="1">
      <c r="A183" s="2">
        <v>2024.0</v>
      </c>
      <c r="B183" s="2" t="s">
        <v>51</v>
      </c>
      <c r="C183" s="2">
        <v>7.0</v>
      </c>
      <c r="D183" s="2" t="s">
        <v>52</v>
      </c>
      <c r="E183" s="2" t="s">
        <v>25</v>
      </c>
      <c r="F183" s="2" t="s">
        <v>48</v>
      </c>
      <c r="G183" s="2" t="s">
        <v>27</v>
      </c>
      <c r="H183" s="2" t="s">
        <v>28</v>
      </c>
      <c r="I183" s="2" t="s">
        <v>31</v>
      </c>
      <c r="J183" s="2">
        <v>111.0</v>
      </c>
      <c r="K183" s="2">
        <v>82.0</v>
      </c>
      <c r="L183" s="2">
        <v>65.0</v>
      </c>
      <c r="M183" s="2">
        <v>58.0</v>
      </c>
      <c r="N183" s="2">
        <v>31.0</v>
      </c>
      <c r="O183" s="2">
        <v>64.0</v>
      </c>
      <c r="P183" s="2">
        <v>61.0</v>
      </c>
      <c r="Q183" s="2">
        <v>0.0</v>
      </c>
      <c r="R183" s="2">
        <v>1937.0</v>
      </c>
      <c r="S183" s="2">
        <v>0.0</v>
      </c>
      <c r="T183" s="2">
        <v>1937.0</v>
      </c>
      <c r="U183" s="2">
        <v>0.0</v>
      </c>
      <c r="V183" s="2">
        <v>0.0</v>
      </c>
      <c r="W183" s="2">
        <v>1937.0</v>
      </c>
    </row>
    <row r="184" ht="15.0" customHeight="1">
      <c r="A184" s="2">
        <v>2024.0</v>
      </c>
      <c r="B184" s="2" t="s">
        <v>51</v>
      </c>
      <c r="C184" s="2">
        <v>7.0</v>
      </c>
      <c r="D184" s="2" t="s">
        <v>52</v>
      </c>
      <c r="E184" s="2" t="s">
        <v>25</v>
      </c>
      <c r="F184" s="2" t="s">
        <v>48</v>
      </c>
      <c r="G184" s="2" t="s">
        <v>32</v>
      </c>
      <c r="H184" s="2" t="s">
        <v>28</v>
      </c>
      <c r="I184" s="2" t="s">
        <v>29</v>
      </c>
      <c r="J184" s="2">
        <v>943.0</v>
      </c>
      <c r="K184" s="2">
        <v>506.0</v>
      </c>
      <c r="L184" s="2">
        <v>254.0</v>
      </c>
      <c r="M184" s="2">
        <v>238.0</v>
      </c>
      <c r="N184" s="2">
        <v>95.0</v>
      </c>
      <c r="O184" s="2">
        <v>123.0</v>
      </c>
      <c r="P184" s="2">
        <v>107.0</v>
      </c>
      <c r="Q184" s="2">
        <v>0.0</v>
      </c>
      <c r="R184" s="2">
        <v>1472.0</v>
      </c>
      <c r="S184" s="2">
        <v>773.0</v>
      </c>
      <c r="T184" s="2">
        <v>700.0</v>
      </c>
      <c r="U184" s="2">
        <v>698.0</v>
      </c>
      <c r="V184" s="2">
        <v>75.0</v>
      </c>
      <c r="W184" s="2">
        <v>774.0</v>
      </c>
    </row>
    <row r="185" ht="15.0" customHeight="1">
      <c r="A185" s="2">
        <v>2024.0</v>
      </c>
      <c r="B185" s="2" t="s">
        <v>51</v>
      </c>
      <c r="C185" s="2">
        <v>7.0</v>
      </c>
      <c r="D185" s="2" t="s">
        <v>52</v>
      </c>
      <c r="E185" s="2" t="s">
        <v>25</v>
      </c>
      <c r="F185" s="2" t="s">
        <v>48</v>
      </c>
      <c r="G185" s="2" t="s">
        <v>32</v>
      </c>
      <c r="H185" s="2" t="s">
        <v>28</v>
      </c>
      <c r="I185" s="2" t="s">
        <v>30</v>
      </c>
      <c r="J185" s="2">
        <v>550.0</v>
      </c>
      <c r="K185" s="2">
        <v>244.0</v>
      </c>
      <c r="L185" s="2">
        <v>128.0</v>
      </c>
      <c r="M185" s="2">
        <v>119.0</v>
      </c>
      <c r="N185" s="2">
        <v>33.0</v>
      </c>
      <c r="O185" s="2">
        <v>49.0</v>
      </c>
      <c r="P185" s="2">
        <v>42.0</v>
      </c>
      <c r="Q185" s="2">
        <v>0.0</v>
      </c>
      <c r="R185" s="2">
        <v>673.0</v>
      </c>
      <c r="S185" s="2">
        <v>283.0</v>
      </c>
      <c r="T185" s="2">
        <v>390.0</v>
      </c>
      <c r="U185" s="2">
        <v>283.0</v>
      </c>
      <c r="V185" s="2">
        <v>0.0</v>
      </c>
      <c r="W185" s="2">
        <v>390.0</v>
      </c>
    </row>
    <row r="186" ht="15.0" customHeight="1">
      <c r="A186" s="2">
        <v>2024.0</v>
      </c>
      <c r="B186" s="2" t="s">
        <v>51</v>
      </c>
      <c r="C186" s="2">
        <v>7.0</v>
      </c>
      <c r="D186" s="2" t="s">
        <v>52</v>
      </c>
      <c r="E186" s="2" t="s">
        <v>25</v>
      </c>
      <c r="F186" s="2" t="s">
        <v>48</v>
      </c>
      <c r="G186" s="2" t="s">
        <v>32</v>
      </c>
      <c r="H186" s="2" t="s">
        <v>28</v>
      </c>
      <c r="I186" s="2" t="s">
        <v>31</v>
      </c>
      <c r="J186" s="2">
        <v>1395.0</v>
      </c>
      <c r="K186" s="2">
        <v>852.0</v>
      </c>
      <c r="L186" s="2">
        <v>501.0</v>
      </c>
      <c r="M186" s="2">
        <v>469.0</v>
      </c>
      <c r="N186" s="2">
        <v>132.0</v>
      </c>
      <c r="O186" s="2">
        <v>156.0</v>
      </c>
      <c r="P186" s="2">
        <v>136.0</v>
      </c>
      <c r="Q186" s="2">
        <v>0.0</v>
      </c>
      <c r="R186" s="2">
        <v>2091.0</v>
      </c>
      <c r="S186" s="2">
        <v>0.0</v>
      </c>
      <c r="T186" s="2">
        <v>2091.0</v>
      </c>
      <c r="U186" s="2">
        <v>0.0</v>
      </c>
      <c r="V186" s="2">
        <v>0.0</v>
      </c>
      <c r="W186" s="2">
        <v>2091.0</v>
      </c>
    </row>
    <row r="187" ht="15.0" customHeight="1">
      <c r="A187" s="2">
        <v>2024.0</v>
      </c>
      <c r="B187" s="2" t="s">
        <v>51</v>
      </c>
      <c r="C187" s="2">
        <v>7.0</v>
      </c>
      <c r="D187" s="2" t="s">
        <v>52</v>
      </c>
      <c r="E187" s="2" t="s">
        <v>25</v>
      </c>
      <c r="F187" s="2" t="s">
        <v>48</v>
      </c>
      <c r="G187" s="2" t="s">
        <v>33</v>
      </c>
      <c r="H187" s="2" t="s">
        <v>28</v>
      </c>
      <c r="I187" s="2" t="s">
        <v>29</v>
      </c>
      <c r="J187" s="2">
        <v>3472.0</v>
      </c>
      <c r="K187" s="2">
        <v>2215.0</v>
      </c>
      <c r="L187" s="2">
        <v>888.0</v>
      </c>
      <c r="M187" s="2">
        <v>841.0</v>
      </c>
      <c r="N187" s="2">
        <v>576.0</v>
      </c>
      <c r="O187" s="2">
        <v>800.0</v>
      </c>
      <c r="P187" s="2">
        <v>783.0</v>
      </c>
      <c r="Q187" s="2">
        <v>708.0</v>
      </c>
      <c r="R187" s="2">
        <v>20377.0</v>
      </c>
      <c r="S187" s="2">
        <v>12749.0</v>
      </c>
      <c r="T187" s="2">
        <v>7627.0</v>
      </c>
      <c r="U187" s="2">
        <v>12643.0</v>
      </c>
      <c r="V187" s="2">
        <v>106.0</v>
      </c>
      <c r="W187" s="2">
        <v>7734.0</v>
      </c>
    </row>
    <row r="188" ht="15.0" customHeight="1">
      <c r="A188" s="2">
        <v>2024.0</v>
      </c>
      <c r="B188" s="2" t="s">
        <v>51</v>
      </c>
      <c r="C188" s="2">
        <v>7.0</v>
      </c>
      <c r="D188" s="2" t="s">
        <v>52</v>
      </c>
      <c r="E188" s="2" t="s">
        <v>25</v>
      </c>
      <c r="F188" s="2" t="s">
        <v>48</v>
      </c>
      <c r="G188" s="2" t="s">
        <v>33</v>
      </c>
      <c r="H188" s="2" t="s">
        <v>28</v>
      </c>
      <c r="I188" s="2" t="s">
        <v>30</v>
      </c>
      <c r="J188" s="2">
        <v>1961.0</v>
      </c>
      <c r="K188" s="2">
        <v>688.0</v>
      </c>
      <c r="L188" s="2">
        <v>324.0</v>
      </c>
      <c r="M188" s="2">
        <v>312.0</v>
      </c>
      <c r="N188" s="2">
        <v>140.0</v>
      </c>
      <c r="O188" s="2">
        <v>193.0</v>
      </c>
      <c r="P188" s="2">
        <v>187.0</v>
      </c>
      <c r="Q188" s="2">
        <v>170.0</v>
      </c>
      <c r="R188" s="2">
        <v>4366.0</v>
      </c>
      <c r="S188" s="2">
        <v>3170.0</v>
      </c>
      <c r="T188" s="2">
        <v>1196.0</v>
      </c>
      <c r="U188" s="2">
        <v>3170.0</v>
      </c>
      <c r="V188" s="2">
        <v>0.0</v>
      </c>
      <c r="W188" s="2">
        <v>1196.0</v>
      </c>
    </row>
    <row r="189" ht="15.0" customHeight="1">
      <c r="A189" s="2">
        <v>2024.0</v>
      </c>
      <c r="B189" s="2" t="s">
        <v>51</v>
      </c>
      <c r="C189" s="2">
        <v>7.0</v>
      </c>
      <c r="D189" s="2" t="s">
        <v>52</v>
      </c>
      <c r="E189" s="2" t="s">
        <v>25</v>
      </c>
      <c r="F189" s="2" t="s">
        <v>48</v>
      </c>
      <c r="G189" s="2" t="s">
        <v>33</v>
      </c>
      <c r="H189" s="2" t="s">
        <v>28</v>
      </c>
      <c r="I189" s="2" t="s">
        <v>31</v>
      </c>
      <c r="J189" s="2">
        <v>229.0</v>
      </c>
      <c r="K189" s="2">
        <v>51.0</v>
      </c>
      <c r="L189" s="2">
        <v>23.0</v>
      </c>
      <c r="M189" s="2">
        <v>20.0</v>
      </c>
      <c r="N189" s="2">
        <v>13.0</v>
      </c>
      <c r="O189" s="2">
        <v>19.0</v>
      </c>
      <c r="P189" s="2">
        <v>18.0</v>
      </c>
      <c r="Q189" s="2">
        <v>14.0</v>
      </c>
      <c r="R189" s="2">
        <v>500.0</v>
      </c>
      <c r="S189" s="2">
        <v>0.0</v>
      </c>
      <c r="T189" s="2">
        <v>500.0</v>
      </c>
      <c r="U189" s="2">
        <v>0.0</v>
      </c>
      <c r="V189" s="2">
        <v>0.0</v>
      </c>
      <c r="W189" s="2">
        <v>500.0</v>
      </c>
    </row>
    <row r="190" ht="15.0" customHeight="1">
      <c r="A190" s="2">
        <v>2024.0</v>
      </c>
      <c r="B190" s="2" t="s">
        <v>51</v>
      </c>
      <c r="C190" s="2">
        <v>7.0</v>
      </c>
      <c r="D190" s="2" t="s">
        <v>52</v>
      </c>
      <c r="E190" s="2" t="s">
        <v>25</v>
      </c>
      <c r="F190" s="2" t="s">
        <v>48</v>
      </c>
      <c r="G190" s="2" t="s">
        <v>34</v>
      </c>
      <c r="H190" s="2" t="s">
        <v>35</v>
      </c>
      <c r="I190" s="2" t="s">
        <v>29</v>
      </c>
      <c r="J190" s="2">
        <v>41267.0</v>
      </c>
      <c r="K190" s="2">
        <v>26271.0</v>
      </c>
      <c r="L190" s="2">
        <v>11804.0</v>
      </c>
      <c r="M190" s="2">
        <v>11279.0</v>
      </c>
      <c r="N190" s="2">
        <v>4296.0</v>
      </c>
      <c r="O190" s="2">
        <v>5763.0</v>
      </c>
      <c r="P190" s="2">
        <v>5219.0</v>
      </c>
      <c r="Q190" s="2">
        <v>0.0</v>
      </c>
      <c r="R190" s="2">
        <v>80658.0</v>
      </c>
      <c r="S190" s="2">
        <v>59889.0</v>
      </c>
      <c r="T190" s="2">
        <v>20769.0</v>
      </c>
      <c r="U190" s="2">
        <v>53871.0</v>
      </c>
      <c r="V190" s="2">
        <v>6018.0</v>
      </c>
      <c r="W190" s="2">
        <v>26788.0</v>
      </c>
    </row>
    <row r="191" ht="15.0" customHeight="1">
      <c r="A191" s="2">
        <v>2024.0</v>
      </c>
      <c r="B191" s="2" t="s">
        <v>51</v>
      </c>
      <c r="C191" s="2">
        <v>7.0</v>
      </c>
      <c r="D191" s="2" t="s">
        <v>52</v>
      </c>
      <c r="E191" s="2" t="s">
        <v>25</v>
      </c>
      <c r="F191" s="2" t="s">
        <v>48</v>
      </c>
      <c r="G191" s="2" t="s">
        <v>34</v>
      </c>
      <c r="H191" s="2" t="s">
        <v>35</v>
      </c>
      <c r="I191" s="2" t="s">
        <v>30</v>
      </c>
      <c r="J191" s="2">
        <v>19114.0</v>
      </c>
      <c r="K191" s="2">
        <v>9609.0</v>
      </c>
      <c r="L191" s="2">
        <v>3586.0</v>
      </c>
      <c r="M191" s="2">
        <v>3385.0</v>
      </c>
      <c r="N191" s="2">
        <v>1140.0</v>
      </c>
      <c r="O191" s="2">
        <v>1519.0</v>
      </c>
      <c r="P191" s="2">
        <v>1363.0</v>
      </c>
      <c r="Q191" s="2">
        <v>0.0</v>
      </c>
      <c r="R191" s="2">
        <v>22830.0</v>
      </c>
      <c r="S191" s="2">
        <v>15709.0</v>
      </c>
      <c r="T191" s="2">
        <v>7120.0</v>
      </c>
      <c r="U191" s="2">
        <v>15709.0</v>
      </c>
      <c r="V191" s="2">
        <v>0.0</v>
      </c>
      <c r="W191" s="2">
        <v>7120.0</v>
      </c>
    </row>
    <row r="192" ht="15.0" customHeight="1">
      <c r="A192" s="2">
        <v>2024.0</v>
      </c>
      <c r="B192" s="2" t="s">
        <v>51</v>
      </c>
      <c r="C192" s="2">
        <v>7.0</v>
      </c>
      <c r="D192" s="2" t="s">
        <v>52</v>
      </c>
      <c r="E192" s="2" t="s">
        <v>25</v>
      </c>
      <c r="F192" s="2" t="s">
        <v>48</v>
      </c>
      <c r="G192" s="2" t="s">
        <v>34</v>
      </c>
      <c r="H192" s="2" t="s">
        <v>35</v>
      </c>
      <c r="I192" s="2" t="s">
        <v>31</v>
      </c>
      <c r="J192" s="2">
        <v>1201.0</v>
      </c>
      <c r="K192" s="2">
        <v>762.0</v>
      </c>
      <c r="L192" s="2">
        <v>568.0</v>
      </c>
      <c r="M192" s="2">
        <v>460.0</v>
      </c>
      <c r="N192" s="2">
        <v>166.0</v>
      </c>
      <c r="O192" s="2">
        <v>214.0</v>
      </c>
      <c r="P192" s="2">
        <v>197.0</v>
      </c>
      <c r="Q192" s="2">
        <v>0.0</v>
      </c>
      <c r="R192" s="2">
        <v>3243.0</v>
      </c>
      <c r="S192" s="2">
        <v>19.0</v>
      </c>
      <c r="T192" s="2">
        <v>3225.0</v>
      </c>
      <c r="U192" s="2">
        <v>19.0</v>
      </c>
      <c r="V192" s="2">
        <v>0.0</v>
      </c>
      <c r="W192" s="2">
        <v>3225.0</v>
      </c>
    </row>
    <row r="193" ht="15.0" customHeight="1">
      <c r="A193" s="2">
        <v>2024.0</v>
      </c>
      <c r="B193" s="2" t="s">
        <v>51</v>
      </c>
      <c r="C193" s="2">
        <v>7.0</v>
      </c>
      <c r="D193" s="2" t="s">
        <v>52</v>
      </c>
      <c r="E193" s="2" t="s">
        <v>25</v>
      </c>
      <c r="F193" s="2" t="s">
        <v>48</v>
      </c>
      <c r="G193" s="2" t="s">
        <v>36</v>
      </c>
      <c r="H193" s="2" t="s">
        <v>35</v>
      </c>
      <c r="I193" s="2" t="s">
        <v>29</v>
      </c>
      <c r="J193" s="2">
        <v>17624.0</v>
      </c>
      <c r="K193" s="2">
        <v>10454.0</v>
      </c>
      <c r="L193" s="2">
        <v>4989.0</v>
      </c>
      <c r="M193" s="2">
        <v>4794.0</v>
      </c>
      <c r="N193" s="2">
        <v>3358.0</v>
      </c>
      <c r="O193" s="2">
        <v>6099.0</v>
      </c>
      <c r="P193" s="2">
        <v>5748.0</v>
      </c>
      <c r="Q193" s="2">
        <v>0.0</v>
      </c>
      <c r="R193" s="2">
        <v>72908.0</v>
      </c>
      <c r="S193" s="2">
        <v>53279.0</v>
      </c>
      <c r="T193" s="2">
        <v>19629.0</v>
      </c>
      <c r="U193" s="2">
        <v>51389.0</v>
      </c>
      <c r="V193" s="2">
        <v>1890.0</v>
      </c>
      <c r="W193" s="2">
        <v>21520.0</v>
      </c>
    </row>
    <row r="194" ht="15.0" customHeight="1">
      <c r="A194" s="2">
        <v>2024.0</v>
      </c>
      <c r="B194" s="2" t="s">
        <v>51</v>
      </c>
      <c r="C194" s="2">
        <v>7.0</v>
      </c>
      <c r="D194" s="2" t="s">
        <v>52</v>
      </c>
      <c r="E194" s="2" t="s">
        <v>25</v>
      </c>
      <c r="F194" s="2" t="s">
        <v>48</v>
      </c>
      <c r="G194" s="2" t="s">
        <v>36</v>
      </c>
      <c r="H194" s="2" t="s">
        <v>35</v>
      </c>
      <c r="I194" s="2" t="s">
        <v>30</v>
      </c>
      <c r="J194" s="2">
        <v>5236.0</v>
      </c>
      <c r="K194" s="2">
        <v>1753.0</v>
      </c>
      <c r="L194" s="2">
        <v>882.0</v>
      </c>
      <c r="M194" s="2">
        <v>840.0</v>
      </c>
      <c r="N194" s="2">
        <v>563.0</v>
      </c>
      <c r="O194" s="2">
        <v>1036.0</v>
      </c>
      <c r="P194" s="2">
        <v>974.0</v>
      </c>
      <c r="Q194" s="2">
        <v>0.0</v>
      </c>
      <c r="R194" s="2">
        <v>12649.0</v>
      </c>
      <c r="S194" s="2">
        <v>10109.0</v>
      </c>
      <c r="T194" s="2">
        <v>2540.0</v>
      </c>
      <c r="U194" s="2">
        <v>8939.0</v>
      </c>
      <c r="V194" s="2">
        <v>1170.0</v>
      </c>
      <c r="W194" s="2">
        <v>3710.0</v>
      </c>
    </row>
    <row r="195" ht="15.0" customHeight="1">
      <c r="A195" s="2">
        <v>2024.0</v>
      </c>
      <c r="B195" s="2" t="s">
        <v>51</v>
      </c>
      <c r="C195" s="2">
        <v>7.0</v>
      </c>
      <c r="D195" s="2" t="s">
        <v>52</v>
      </c>
      <c r="E195" s="2" t="s">
        <v>25</v>
      </c>
      <c r="F195" s="2" t="s">
        <v>48</v>
      </c>
      <c r="G195" s="2" t="s">
        <v>36</v>
      </c>
      <c r="H195" s="2" t="s">
        <v>35</v>
      </c>
      <c r="I195" s="2" t="s">
        <v>31</v>
      </c>
      <c r="J195" s="2">
        <v>1100.0</v>
      </c>
      <c r="K195" s="2">
        <v>729.0</v>
      </c>
      <c r="L195" s="2">
        <v>494.0</v>
      </c>
      <c r="M195" s="2">
        <v>444.0</v>
      </c>
      <c r="N195" s="2">
        <v>283.0</v>
      </c>
      <c r="O195" s="2">
        <v>556.0</v>
      </c>
      <c r="P195" s="2">
        <v>529.0</v>
      </c>
      <c r="Q195" s="2">
        <v>0.0</v>
      </c>
      <c r="R195" s="2">
        <v>6784.0</v>
      </c>
      <c r="S195" s="2">
        <v>0.0</v>
      </c>
      <c r="T195" s="2">
        <v>6784.0</v>
      </c>
      <c r="U195" s="2">
        <v>0.0</v>
      </c>
      <c r="V195" s="2">
        <v>0.0</v>
      </c>
      <c r="W195" s="2">
        <v>6784.0</v>
      </c>
    </row>
    <row r="196" ht="15.0" customHeight="1">
      <c r="A196" s="2">
        <v>2024.0</v>
      </c>
      <c r="B196" s="2" t="s">
        <v>51</v>
      </c>
      <c r="C196" s="2">
        <v>7.0</v>
      </c>
      <c r="D196" s="2" t="s">
        <v>52</v>
      </c>
      <c r="E196" s="2" t="s">
        <v>25</v>
      </c>
      <c r="F196" s="2" t="s">
        <v>48</v>
      </c>
      <c r="G196" s="2" t="s">
        <v>37</v>
      </c>
      <c r="H196" s="2" t="s">
        <v>35</v>
      </c>
      <c r="I196" s="2" t="s">
        <v>29</v>
      </c>
      <c r="J196" s="2">
        <v>1505.0</v>
      </c>
      <c r="K196" s="2">
        <v>752.0</v>
      </c>
      <c r="L196" s="2">
        <v>307.0</v>
      </c>
      <c r="M196" s="2">
        <v>296.0</v>
      </c>
      <c r="N196" s="2">
        <v>200.0</v>
      </c>
      <c r="O196" s="2">
        <v>449.0</v>
      </c>
      <c r="P196" s="2">
        <v>364.0</v>
      </c>
      <c r="Q196" s="2">
        <v>8.0</v>
      </c>
      <c r="R196" s="2">
        <v>8651.0</v>
      </c>
      <c r="S196" s="2">
        <v>7802.0</v>
      </c>
      <c r="T196" s="2">
        <v>849.0</v>
      </c>
      <c r="U196" s="2">
        <v>7802.0</v>
      </c>
      <c r="V196" s="2">
        <v>0.0</v>
      </c>
      <c r="W196" s="2">
        <v>849.0</v>
      </c>
    </row>
    <row r="197" ht="15.0" customHeight="1">
      <c r="A197" s="2">
        <v>2024.0</v>
      </c>
      <c r="B197" s="2" t="s">
        <v>51</v>
      </c>
      <c r="C197" s="2">
        <v>7.0</v>
      </c>
      <c r="D197" s="2" t="s">
        <v>52</v>
      </c>
      <c r="E197" s="2" t="s">
        <v>25</v>
      </c>
      <c r="F197" s="2" t="s">
        <v>48</v>
      </c>
      <c r="G197" s="2" t="s">
        <v>37</v>
      </c>
      <c r="H197" s="2" t="s">
        <v>35</v>
      </c>
      <c r="I197" s="2" t="s">
        <v>30</v>
      </c>
      <c r="J197" s="2">
        <v>1.0</v>
      </c>
      <c r="K197" s="2">
        <v>1.0</v>
      </c>
      <c r="L197" s="2">
        <v>1.0</v>
      </c>
      <c r="M197" s="2">
        <v>1.0</v>
      </c>
      <c r="N197" s="2">
        <v>1.0</v>
      </c>
      <c r="O197" s="2">
        <v>6.0</v>
      </c>
      <c r="P197" s="2">
        <v>4.0</v>
      </c>
      <c r="Q197" s="2">
        <v>0.0</v>
      </c>
      <c r="R197" s="2">
        <v>130.0</v>
      </c>
      <c r="S197" s="2">
        <v>0.0</v>
      </c>
      <c r="T197" s="2">
        <v>130.0</v>
      </c>
      <c r="U197" s="2">
        <v>0.0</v>
      </c>
      <c r="V197" s="2">
        <v>0.0</v>
      </c>
      <c r="W197" s="2">
        <v>130.0</v>
      </c>
    </row>
    <row r="198" ht="15.0" customHeight="1">
      <c r="A198" s="2">
        <v>2024.0</v>
      </c>
      <c r="B198" s="2" t="s">
        <v>51</v>
      </c>
      <c r="C198" s="2">
        <v>7.0</v>
      </c>
      <c r="D198" s="2" t="s">
        <v>52</v>
      </c>
      <c r="E198" s="2" t="s">
        <v>25</v>
      </c>
      <c r="F198" s="2" t="s">
        <v>48</v>
      </c>
      <c r="G198" s="2" t="s">
        <v>37</v>
      </c>
      <c r="H198" s="2" t="s">
        <v>35</v>
      </c>
      <c r="I198" s="2" t="s">
        <v>31</v>
      </c>
      <c r="J198" s="2">
        <v>43.0</v>
      </c>
      <c r="K198" s="2">
        <v>31.0</v>
      </c>
      <c r="L198" s="2">
        <v>12.0</v>
      </c>
      <c r="M198" s="2">
        <v>12.0</v>
      </c>
      <c r="N198" s="2">
        <v>11.0</v>
      </c>
      <c r="O198" s="2">
        <v>31.0</v>
      </c>
      <c r="P198" s="2">
        <v>28.0</v>
      </c>
      <c r="Q198" s="2">
        <v>1.0</v>
      </c>
      <c r="R198" s="2">
        <v>702.0</v>
      </c>
      <c r="S198" s="2">
        <v>0.0</v>
      </c>
      <c r="T198" s="2">
        <v>702.0</v>
      </c>
      <c r="U198" s="2">
        <v>0.0</v>
      </c>
      <c r="V198" s="2">
        <v>0.0</v>
      </c>
      <c r="W198" s="2">
        <v>702.0</v>
      </c>
    </row>
    <row r="199" ht="15.0" customHeight="1">
      <c r="A199" s="2">
        <v>2024.0</v>
      </c>
      <c r="B199" s="2" t="s">
        <v>51</v>
      </c>
      <c r="C199" s="2">
        <v>7.0</v>
      </c>
      <c r="D199" s="2" t="s">
        <v>52</v>
      </c>
      <c r="E199" s="2" t="s">
        <v>25</v>
      </c>
      <c r="F199" s="2" t="s">
        <v>48</v>
      </c>
      <c r="G199" s="2" t="s">
        <v>38</v>
      </c>
      <c r="H199" s="2" t="s">
        <v>35</v>
      </c>
      <c r="I199" s="2" t="s">
        <v>29</v>
      </c>
      <c r="J199" s="2">
        <v>4192.0</v>
      </c>
      <c r="K199" s="2">
        <v>2345.0</v>
      </c>
      <c r="L199" s="2">
        <v>1178.0</v>
      </c>
      <c r="M199" s="2">
        <v>1136.0</v>
      </c>
      <c r="N199" s="2">
        <v>551.0</v>
      </c>
      <c r="O199" s="2">
        <v>775.0</v>
      </c>
      <c r="P199" s="2">
        <v>678.0</v>
      </c>
      <c r="Q199" s="2">
        <v>139.0</v>
      </c>
      <c r="R199" s="2">
        <v>12457.0</v>
      </c>
      <c r="S199" s="2">
        <v>7199.0</v>
      </c>
      <c r="T199" s="2">
        <v>5258.0</v>
      </c>
      <c r="U199" s="2">
        <v>7121.0</v>
      </c>
      <c r="V199" s="2">
        <v>78.0</v>
      </c>
      <c r="W199" s="2">
        <v>5336.0</v>
      </c>
    </row>
    <row r="200" ht="15.0" customHeight="1">
      <c r="A200" s="2">
        <v>2024.0</v>
      </c>
      <c r="B200" s="2" t="s">
        <v>51</v>
      </c>
      <c r="C200" s="2">
        <v>7.0</v>
      </c>
      <c r="D200" s="2" t="s">
        <v>52</v>
      </c>
      <c r="E200" s="2" t="s">
        <v>25</v>
      </c>
      <c r="F200" s="2" t="s">
        <v>48</v>
      </c>
      <c r="G200" s="2" t="s">
        <v>38</v>
      </c>
      <c r="H200" s="2" t="s">
        <v>35</v>
      </c>
      <c r="I200" s="2" t="s">
        <v>30</v>
      </c>
      <c r="J200" s="2">
        <v>8935.0</v>
      </c>
      <c r="K200" s="2">
        <v>3438.0</v>
      </c>
      <c r="L200" s="2">
        <v>2359.0</v>
      </c>
      <c r="M200" s="2">
        <v>2284.0</v>
      </c>
      <c r="N200" s="2">
        <v>1069.0</v>
      </c>
      <c r="O200" s="2">
        <v>1458.0</v>
      </c>
      <c r="P200" s="2">
        <v>1286.0</v>
      </c>
      <c r="Q200" s="2">
        <v>301.0</v>
      </c>
      <c r="R200" s="2">
        <v>23439.0</v>
      </c>
      <c r="S200" s="2">
        <v>19618.0</v>
      </c>
      <c r="T200" s="2">
        <v>3820.0</v>
      </c>
      <c r="U200" s="2">
        <v>19618.0</v>
      </c>
      <c r="V200" s="2">
        <v>0.0</v>
      </c>
      <c r="W200" s="2">
        <v>3820.0</v>
      </c>
    </row>
    <row r="201" ht="15.0" customHeight="1">
      <c r="A201" s="2">
        <v>2024.0</v>
      </c>
      <c r="B201" s="2" t="s">
        <v>51</v>
      </c>
      <c r="C201" s="2">
        <v>7.0</v>
      </c>
      <c r="D201" s="2" t="s">
        <v>52</v>
      </c>
      <c r="E201" s="2" t="s">
        <v>25</v>
      </c>
      <c r="F201" s="2" t="s">
        <v>48</v>
      </c>
      <c r="G201" s="2" t="s">
        <v>38</v>
      </c>
      <c r="H201" s="2" t="s">
        <v>35</v>
      </c>
      <c r="I201" s="2" t="s">
        <v>31</v>
      </c>
      <c r="J201" s="2">
        <v>1131.0</v>
      </c>
      <c r="K201" s="2">
        <v>538.0</v>
      </c>
      <c r="L201" s="2">
        <v>398.0</v>
      </c>
      <c r="M201" s="2">
        <v>365.0</v>
      </c>
      <c r="N201" s="2">
        <v>185.0</v>
      </c>
      <c r="O201" s="2">
        <v>289.0</v>
      </c>
      <c r="P201" s="2">
        <v>248.0</v>
      </c>
      <c r="Q201" s="2">
        <v>54.0</v>
      </c>
      <c r="R201" s="2">
        <v>4594.0</v>
      </c>
      <c r="S201" s="2">
        <v>19.0</v>
      </c>
      <c r="T201" s="2">
        <v>4576.0</v>
      </c>
      <c r="U201" s="2">
        <v>19.0</v>
      </c>
      <c r="V201" s="2">
        <v>0.0</v>
      </c>
      <c r="W201" s="2">
        <v>4576.0</v>
      </c>
    </row>
    <row r="202" ht="15.0" customHeight="1">
      <c r="A202" s="2">
        <v>2024.0</v>
      </c>
      <c r="B202" s="2" t="s">
        <v>51</v>
      </c>
      <c r="C202" s="2">
        <v>7.0</v>
      </c>
      <c r="D202" s="2" t="s">
        <v>52</v>
      </c>
      <c r="E202" s="2" t="s">
        <v>25</v>
      </c>
      <c r="F202" s="2" t="s">
        <v>48</v>
      </c>
      <c r="G202" s="2" t="s">
        <v>39</v>
      </c>
      <c r="H202" s="2" t="s">
        <v>40</v>
      </c>
      <c r="I202" s="2" t="s">
        <v>29</v>
      </c>
      <c r="J202" s="2">
        <v>34899.0</v>
      </c>
      <c r="K202" s="2">
        <v>21551.0</v>
      </c>
      <c r="L202" s="2">
        <v>10587.0</v>
      </c>
      <c r="M202" s="2">
        <v>10137.0</v>
      </c>
      <c r="N202" s="2">
        <v>9036.0</v>
      </c>
      <c r="O202" s="2">
        <v>15647.0</v>
      </c>
      <c r="P202" s="2">
        <v>15170.0</v>
      </c>
      <c r="Q202" s="2">
        <v>11593.0</v>
      </c>
      <c r="R202" s="2">
        <v>110473.0</v>
      </c>
      <c r="S202" s="2">
        <v>76023.0</v>
      </c>
      <c r="T202" s="2">
        <v>34450.0</v>
      </c>
      <c r="U202" s="2">
        <v>74714.0</v>
      </c>
      <c r="V202" s="2">
        <v>1309.0</v>
      </c>
      <c r="W202" s="2">
        <v>35759.0</v>
      </c>
    </row>
    <row r="203" ht="15.0" customHeight="1">
      <c r="A203" s="2">
        <v>2024.0</v>
      </c>
      <c r="B203" s="2" t="s">
        <v>51</v>
      </c>
      <c r="C203" s="2">
        <v>7.0</v>
      </c>
      <c r="D203" s="2" t="s">
        <v>52</v>
      </c>
      <c r="E203" s="2" t="s">
        <v>25</v>
      </c>
      <c r="F203" s="2" t="s">
        <v>48</v>
      </c>
      <c r="G203" s="2" t="s">
        <v>39</v>
      </c>
      <c r="H203" s="2" t="s">
        <v>40</v>
      </c>
      <c r="I203" s="2" t="s">
        <v>30</v>
      </c>
      <c r="J203" s="2">
        <v>8036.0</v>
      </c>
      <c r="K203" s="2">
        <v>3675.0</v>
      </c>
      <c r="L203" s="2">
        <v>1417.0</v>
      </c>
      <c r="M203" s="2">
        <v>1343.0</v>
      </c>
      <c r="N203" s="2">
        <v>1153.0</v>
      </c>
      <c r="O203" s="2">
        <v>2013.0</v>
      </c>
      <c r="P203" s="2">
        <v>1940.0</v>
      </c>
      <c r="Q203" s="2">
        <v>1390.0</v>
      </c>
      <c r="R203" s="2">
        <v>14387.0</v>
      </c>
      <c r="S203" s="2">
        <v>11689.0</v>
      </c>
      <c r="T203" s="2">
        <v>2699.0</v>
      </c>
      <c r="U203" s="2">
        <v>11669.0</v>
      </c>
      <c r="V203" s="2">
        <v>19.0</v>
      </c>
      <c r="W203" s="2">
        <v>2718.0</v>
      </c>
    </row>
    <row r="204" ht="15.0" customHeight="1">
      <c r="A204" s="2">
        <v>2024.0</v>
      </c>
      <c r="B204" s="2" t="s">
        <v>51</v>
      </c>
      <c r="C204" s="2">
        <v>7.0</v>
      </c>
      <c r="D204" s="2" t="s">
        <v>52</v>
      </c>
      <c r="E204" s="2" t="s">
        <v>25</v>
      </c>
      <c r="F204" s="2" t="s">
        <v>48</v>
      </c>
      <c r="G204" s="2" t="s">
        <v>39</v>
      </c>
      <c r="H204" s="2" t="s">
        <v>40</v>
      </c>
      <c r="I204" s="2" t="s">
        <v>31</v>
      </c>
      <c r="J204" s="2">
        <v>3471.0</v>
      </c>
      <c r="K204" s="2">
        <v>2260.0</v>
      </c>
      <c r="L204" s="2">
        <v>1184.0</v>
      </c>
      <c r="M204" s="2">
        <v>1061.0</v>
      </c>
      <c r="N204" s="2">
        <v>952.0</v>
      </c>
      <c r="O204" s="2">
        <v>1712.0</v>
      </c>
      <c r="P204" s="2">
        <v>1663.0</v>
      </c>
      <c r="Q204" s="2">
        <v>1249.0</v>
      </c>
      <c r="R204" s="2">
        <v>12488.0</v>
      </c>
      <c r="S204" s="2">
        <v>55.0</v>
      </c>
      <c r="T204" s="2">
        <v>12433.0</v>
      </c>
      <c r="U204" s="2">
        <v>55.0</v>
      </c>
      <c r="V204" s="2">
        <v>0.0</v>
      </c>
      <c r="W204" s="2">
        <v>12433.0</v>
      </c>
    </row>
    <row r="205" ht="15.0" customHeight="1">
      <c r="A205" s="2">
        <v>2024.0</v>
      </c>
      <c r="B205" s="2" t="s">
        <v>51</v>
      </c>
      <c r="C205" s="2">
        <v>7.0</v>
      </c>
      <c r="D205" s="2" t="s">
        <v>52</v>
      </c>
      <c r="E205" s="2" t="s">
        <v>25</v>
      </c>
      <c r="F205" s="2" t="s">
        <v>48</v>
      </c>
      <c r="G205" s="2" t="s">
        <v>41</v>
      </c>
      <c r="H205" s="2" t="s">
        <v>42</v>
      </c>
      <c r="I205" s="2" t="s">
        <v>29</v>
      </c>
      <c r="J205" s="2">
        <v>58824.0</v>
      </c>
      <c r="K205" s="2">
        <v>34208.0</v>
      </c>
      <c r="L205" s="2">
        <v>8478.0</v>
      </c>
      <c r="M205" s="2">
        <v>7813.0</v>
      </c>
      <c r="N205" s="2">
        <v>3354.0</v>
      </c>
      <c r="O205" s="2">
        <v>4481.0</v>
      </c>
      <c r="P205" s="2">
        <v>3823.0</v>
      </c>
      <c r="Q205" s="2">
        <v>0.0</v>
      </c>
      <c r="R205" s="2">
        <v>40809.0</v>
      </c>
      <c r="S205" s="2">
        <v>26541.0</v>
      </c>
      <c r="T205" s="2">
        <v>14268.0</v>
      </c>
      <c r="U205" s="2">
        <v>25186.0</v>
      </c>
      <c r="V205" s="2">
        <v>1354.0</v>
      </c>
      <c r="W205" s="2">
        <v>15623.0</v>
      </c>
    </row>
    <row r="206" ht="15.0" customHeight="1">
      <c r="A206" s="2">
        <v>2024.0</v>
      </c>
      <c r="B206" s="2" t="s">
        <v>51</v>
      </c>
      <c r="C206" s="2">
        <v>7.0</v>
      </c>
      <c r="D206" s="2" t="s">
        <v>52</v>
      </c>
      <c r="E206" s="2" t="s">
        <v>25</v>
      </c>
      <c r="F206" s="2" t="s">
        <v>48</v>
      </c>
      <c r="G206" s="2" t="s">
        <v>41</v>
      </c>
      <c r="H206" s="2" t="s">
        <v>42</v>
      </c>
      <c r="I206" s="2" t="s">
        <v>30</v>
      </c>
      <c r="J206" s="2">
        <v>8497.0</v>
      </c>
      <c r="K206" s="2">
        <v>4524.0</v>
      </c>
      <c r="L206" s="2">
        <v>2579.0</v>
      </c>
      <c r="M206" s="2">
        <v>2450.0</v>
      </c>
      <c r="N206" s="2">
        <v>994.0</v>
      </c>
      <c r="O206" s="2">
        <v>1313.0</v>
      </c>
      <c r="P206" s="2">
        <v>1146.0</v>
      </c>
      <c r="Q206" s="2">
        <v>0.0</v>
      </c>
      <c r="R206" s="2">
        <v>11678.0</v>
      </c>
      <c r="S206" s="2">
        <v>9157.0</v>
      </c>
      <c r="T206" s="2">
        <v>2521.0</v>
      </c>
      <c r="U206" s="2">
        <v>9044.0</v>
      </c>
      <c r="V206" s="2">
        <v>114.0</v>
      </c>
      <c r="W206" s="2">
        <v>2634.0</v>
      </c>
    </row>
    <row r="207" ht="15.0" customHeight="1">
      <c r="A207" s="2">
        <v>2024.0</v>
      </c>
      <c r="B207" s="2" t="s">
        <v>51</v>
      </c>
      <c r="C207" s="2">
        <v>7.0</v>
      </c>
      <c r="D207" s="2" t="s">
        <v>52</v>
      </c>
      <c r="E207" s="2" t="s">
        <v>25</v>
      </c>
      <c r="F207" s="2" t="s">
        <v>48</v>
      </c>
      <c r="G207" s="2" t="s">
        <v>41</v>
      </c>
      <c r="H207" s="2" t="s">
        <v>42</v>
      </c>
      <c r="I207" s="2" t="s">
        <v>31</v>
      </c>
      <c r="J207" s="2">
        <v>9364.0</v>
      </c>
      <c r="K207" s="2">
        <v>7101.0</v>
      </c>
      <c r="L207" s="2">
        <v>5754.0</v>
      </c>
      <c r="M207" s="2">
        <v>4408.0</v>
      </c>
      <c r="N207" s="2">
        <v>1598.0</v>
      </c>
      <c r="O207" s="2">
        <v>2083.0</v>
      </c>
      <c r="P207" s="2">
        <v>1795.0</v>
      </c>
      <c r="Q207" s="2">
        <v>0.0</v>
      </c>
      <c r="R207" s="2">
        <v>21263.0</v>
      </c>
      <c r="S207" s="2">
        <v>169.0</v>
      </c>
      <c r="T207" s="2">
        <v>21095.0</v>
      </c>
      <c r="U207" s="2">
        <v>169.0</v>
      </c>
      <c r="V207" s="2">
        <v>0.0</v>
      </c>
      <c r="W207" s="2">
        <v>21095.0</v>
      </c>
    </row>
    <row r="208" ht="15.0" customHeight="1">
      <c r="A208" s="2">
        <v>2024.0</v>
      </c>
      <c r="B208" s="2" t="s">
        <v>51</v>
      </c>
      <c r="C208" s="2">
        <v>7.0</v>
      </c>
      <c r="D208" s="2" t="s">
        <v>52</v>
      </c>
      <c r="E208" s="2" t="s">
        <v>25</v>
      </c>
      <c r="F208" s="2" t="s">
        <v>48</v>
      </c>
      <c r="G208" s="2" t="s">
        <v>43</v>
      </c>
      <c r="H208" s="2" t="s">
        <v>42</v>
      </c>
      <c r="I208" s="2" t="s">
        <v>29</v>
      </c>
      <c r="J208" s="2">
        <v>24593.0</v>
      </c>
      <c r="K208" s="2">
        <v>11843.0</v>
      </c>
      <c r="L208" s="2">
        <v>3903.0</v>
      </c>
      <c r="M208" s="2">
        <v>3619.0</v>
      </c>
      <c r="N208" s="2">
        <v>1888.0</v>
      </c>
      <c r="O208" s="2">
        <v>4225.0</v>
      </c>
      <c r="P208" s="2">
        <v>3819.0</v>
      </c>
      <c r="Q208" s="2">
        <v>64.0</v>
      </c>
      <c r="R208" s="2">
        <v>124633.0</v>
      </c>
      <c r="S208" s="2">
        <v>89178.0</v>
      </c>
      <c r="T208" s="2">
        <v>35455.0</v>
      </c>
      <c r="U208" s="2">
        <v>82720.0</v>
      </c>
      <c r="V208" s="2">
        <v>6458.0</v>
      </c>
      <c r="W208" s="2">
        <v>41913.0</v>
      </c>
    </row>
    <row r="209" ht="15.0" customHeight="1">
      <c r="A209" s="2">
        <v>2024.0</v>
      </c>
      <c r="B209" s="2" t="s">
        <v>51</v>
      </c>
      <c r="C209" s="2">
        <v>7.0</v>
      </c>
      <c r="D209" s="2" t="s">
        <v>52</v>
      </c>
      <c r="E209" s="2" t="s">
        <v>25</v>
      </c>
      <c r="F209" s="2" t="s">
        <v>48</v>
      </c>
      <c r="G209" s="2" t="s">
        <v>43</v>
      </c>
      <c r="H209" s="2" t="s">
        <v>42</v>
      </c>
      <c r="I209" s="2" t="s">
        <v>30</v>
      </c>
      <c r="J209" s="2">
        <v>7504.0</v>
      </c>
      <c r="K209" s="2">
        <v>2588.0</v>
      </c>
      <c r="L209" s="2">
        <v>789.0</v>
      </c>
      <c r="M209" s="2">
        <v>738.0</v>
      </c>
      <c r="N209" s="2">
        <v>398.0</v>
      </c>
      <c r="O209" s="2">
        <v>1027.0</v>
      </c>
      <c r="P209" s="2">
        <v>944.0</v>
      </c>
      <c r="Q209" s="2">
        <v>15.0</v>
      </c>
      <c r="R209" s="2">
        <v>33296.0</v>
      </c>
      <c r="S209" s="2">
        <v>19716.0</v>
      </c>
      <c r="T209" s="2">
        <v>13580.0</v>
      </c>
      <c r="U209" s="2">
        <v>19571.0</v>
      </c>
      <c r="V209" s="2">
        <v>145.0</v>
      </c>
      <c r="W209" s="2">
        <v>13725.0</v>
      </c>
    </row>
    <row r="210" ht="15.0" customHeight="1">
      <c r="A210" s="2">
        <v>2024.0</v>
      </c>
      <c r="B210" s="2" t="s">
        <v>51</v>
      </c>
      <c r="C210" s="2">
        <v>7.0</v>
      </c>
      <c r="D210" s="2" t="s">
        <v>52</v>
      </c>
      <c r="E210" s="2" t="s">
        <v>25</v>
      </c>
      <c r="F210" s="2" t="s">
        <v>48</v>
      </c>
      <c r="G210" s="2" t="s">
        <v>43</v>
      </c>
      <c r="H210" s="2" t="s">
        <v>42</v>
      </c>
      <c r="I210" s="2" t="s">
        <v>31</v>
      </c>
      <c r="J210" s="2">
        <v>807.0</v>
      </c>
      <c r="K210" s="2">
        <v>534.0</v>
      </c>
      <c r="L210" s="2">
        <v>307.0</v>
      </c>
      <c r="M210" s="2">
        <v>262.0</v>
      </c>
      <c r="N210" s="2">
        <v>146.0</v>
      </c>
      <c r="O210" s="2">
        <v>393.0</v>
      </c>
      <c r="P210" s="2">
        <v>354.0</v>
      </c>
      <c r="Q210" s="2">
        <v>2.0</v>
      </c>
      <c r="R210" s="2">
        <v>12493.0</v>
      </c>
      <c r="S210" s="2">
        <v>23.0</v>
      </c>
      <c r="T210" s="2">
        <v>12469.0</v>
      </c>
      <c r="U210" s="2">
        <v>23.0</v>
      </c>
      <c r="V210" s="2">
        <v>0.0</v>
      </c>
      <c r="W210" s="2">
        <v>12469.0</v>
      </c>
    </row>
    <row r="211" ht="15.0" customHeight="1">
      <c r="A211" s="2">
        <v>2024.0</v>
      </c>
      <c r="B211" s="2" t="s">
        <v>51</v>
      </c>
      <c r="C211" s="2">
        <v>7.0</v>
      </c>
      <c r="D211" s="2" t="s">
        <v>52</v>
      </c>
      <c r="E211" s="2" t="s">
        <v>25</v>
      </c>
      <c r="F211" s="2" t="s">
        <v>48</v>
      </c>
      <c r="G211" s="2" t="s">
        <v>44</v>
      </c>
      <c r="H211" s="2" t="s">
        <v>45</v>
      </c>
      <c r="I211" s="2" t="s">
        <v>29</v>
      </c>
      <c r="J211" s="2">
        <v>3931.0</v>
      </c>
      <c r="K211" s="2">
        <v>2056.0</v>
      </c>
      <c r="L211" s="2">
        <v>683.0</v>
      </c>
      <c r="M211" s="2">
        <v>661.0</v>
      </c>
      <c r="N211" s="2">
        <v>494.0</v>
      </c>
      <c r="O211" s="2">
        <v>895.0</v>
      </c>
      <c r="P211" s="2">
        <v>826.0</v>
      </c>
      <c r="Q211" s="2">
        <v>337.0</v>
      </c>
      <c r="R211" s="2">
        <v>27604.0</v>
      </c>
      <c r="S211" s="2">
        <v>16040.0</v>
      </c>
      <c r="T211" s="2">
        <v>11565.0</v>
      </c>
      <c r="U211" s="2">
        <v>16040.0</v>
      </c>
      <c r="V211" s="2">
        <v>0.0</v>
      </c>
      <c r="W211" s="2">
        <v>11565.0</v>
      </c>
    </row>
    <row r="212" ht="15.0" customHeight="1">
      <c r="A212" s="2">
        <v>2024.0</v>
      </c>
      <c r="B212" s="2" t="s">
        <v>51</v>
      </c>
      <c r="C212" s="2">
        <v>7.0</v>
      </c>
      <c r="D212" s="2" t="s">
        <v>52</v>
      </c>
      <c r="E212" s="2" t="s">
        <v>25</v>
      </c>
      <c r="F212" s="2" t="s">
        <v>48</v>
      </c>
      <c r="G212" s="2" t="s">
        <v>44</v>
      </c>
      <c r="H212" s="2" t="s">
        <v>45</v>
      </c>
      <c r="I212" s="2" t="s">
        <v>30</v>
      </c>
      <c r="J212" s="2">
        <v>5286.0</v>
      </c>
      <c r="K212" s="2">
        <v>2286.0</v>
      </c>
      <c r="L212" s="2">
        <v>635.0</v>
      </c>
      <c r="M212" s="2">
        <v>591.0</v>
      </c>
      <c r="N212" s="2">
        <v>368.0</v>
      </c>
      <c r="O212" s="2">
        <v>607.0</v>
      </c>
      <c r="P212" s="2">
        <v>557.0</v>
      </c>
      <c r="Q212" s="2">
        <v>233.0</v>
      </c>
      <c r="R212" s="2">
        <v>16039.0</v>
      </c>
      <c r="S212" s="2">
        <v>14275.0</v>
      </c>
      <c r="T212" s="2">
        <v>1764.0</v>
      </c>
      <c r="U212" s="2">
        <v>14275.0</v>
      </c>
      <c r="V212" s="2">
        <v>0.0</v>
      </c>
      <c r="W212" s="2">
        <v>1764.0</v>
      </c>
    </row>
    <row r="213" ht="15.0" customHeight="1">
      <c r="A213" s="2">
        <v>2024.0</v>
      </c>
      <c r="B213" s="2" t="s">
        <v>51</v>
      </c>
      <c r="C213" s="2">
        <v>7.0</v>
      </c>
      <c r="D213" s="2" t="s">
        <v>52</v>
      </c>
      <c r="E213" s="2" t="s">
        <v>25</v>
      </c>
      <c r="F213" s="2" t="s">
        <v>48</v>
      </c>
      <c r="G213" s="2" t="s">
        <v>44</v>
      </c>
      <c r="H213" s="2" t="s">
        <v>45</v>
      </c>
      <c r="I213" s="2" t="s">
        <v>31</v>
      </c>
      <c r="J213" s="2">
        <v>383.0</v>
      </c>
      <c r="K213" s="2">
        <v>215.0</v>
      </c>
      <c r="L213" s="2">
        <v>72.0</v>
      </c>
      <c r="M213" s="2">
        <v>62.0</v>
      </c>
      <c r="N213" s="2">
        <v>40.0</v>
      </c>
      <c r="O213" s="2">
        <v>85.0</v>
      </c>
      <c r="P213" s="2">
        <v>74.0</v>
      </c>
      <c r="Q213" s="2">
        <v>32.0</v>
      </c>
      <c r="R213" s="2">
        <v>3316.0</v>
      </c>
      <c r="S213" s="2">
        <v>31.0</v>
      </c>
      <c r="T213" s="2">
        <v>3285.0</v>
      </c>
      <c r="U213" s="2">
        <v>31.0</v>
      </c>
      <c r="V213" s="2">
        <v>0.0</v>
      </c>
      <c r="W213" s="2">
        <v>3285.0</v>
      </c>
    </row>
    <row r="214" ht="15.0" customHeight="1">
      <c r="A214" s="2">
        <v>2024.0</v>
      </c>
      <c r="B214" s="2" t="s">
        <v>51</v>
      </c>
      <c r="C214" s="2">
        <v>7.0</v>
      </c>
      <c r="D214" s="2" t="s">
        <v>52</v>
      </c>
      <c r="E214" s="2" t="s">
        <v>25</v>
      </c>
      <c r="F214" s="2" t="s">
        <v>48</v>
      </c>
      <c r="G214" s="2" t="s">
        <v>46</v>
      </c>
      <c r="H214" s="2" t="s">
        <v>47</v>
      </c>
      <c r="I214" s="2" t="s">
        <v>29</v>
      </c>
      <c r="J214" s="2">
        <v>18587.0</v>
      </c>
      <c r="K214" s="2">
        <v>9037.0</v>
      </c>
      <c r="L214" s="2">
        <v>3066.0</v>
      </c>
      <c r="M214" s="2">
        <v>2872.0</v>
      </c>
      <c r="N214" s="2">
        <v>2584.0</v>
      </c>
      <c r="O214" s="2">
        <v>6298.0</v>
      </c>
      <c r="P214" s="2">
        <v>5379.0</v>
      </c>
      <c r="Q214" s="2">
        <v>2611.0</v>
      </c>
      <c r="R214" s="2">
        <v>162128.0</v>
      </c>
      <c r="S214" s="2">
        <v>113164.0</v>
      </c>
      <c r="T214" s="2">
        <v>48964.0</v>
      </c>
      <c r="U214" s="2">
        <v>113164.0</v>
      </c>
      <c r="V214" s="2">
        <v>0.0</v>
      </c>
      <c r="W214" s="2">
        <v>48964.0</v>
      </c>
    </row>
    <row r="215" ht="15.0" customHeight="1">
      <c r="A215" s="2">
        <v>2024.0</v>
      </c>
      <c r="B215" s="2" t="s">
        <v>51</v>
      </c>
      <c r="C215" s="2">
        <v>7.0</v>
      </c>
      <c r="D215" s="2" t="s">
        <v>52</v>
      </c>
      <c r="E215" s="2" t="s">
        <v>25</v>
      </c>
      <c r="F215" s="2" t="s">
        <v>48</v>
      </c>
      <c r="G215" s="2" t="s">
        <v>46</v>
      </c>
      <c r="H215" s="2" t="s">
        <v>47</v>
      </c>
      <c r="I215" s="2" t="s">
        <v>30</v>
      </c>
      <c r="J215" s="2">
        <v>4202.0</v>
      </c>
      <c r="K215" s="2">
        <v>1151.0</v>
      </c>
      <c r="L215" s="2">
        <v>494.0</v>
      </c>
      <c r="M215" s="2">
        <v>470.0</v>
      </c>
      <c r="N215" s="2">
        <v>429.0</v>
      </c>
      <c r="O215" s="2">
        <v>1042.0</v>
      </c>
      <c r="P215" s="2">
        <v>893.0</v>
      </c>
      <c r="Q215" s="2">
        <v>462.0</v>
      </c>
      <c r="R215" s="2">
        <v>26847.0</v>
      </c>
      <c r="S215" s="2">
        <v>24712.0</v>
      </c>
      <c r="T215" s="2">
        <v>2135.0</v>
      </c>
      <c r="U215" s="2">
        <v>24712.0</v>
      </c>
      <c r="V215" s="2">
        <v>0.0</v>
      </c>
      <c r="W215" s="2">
        <v>2135.0</v>
      </c>
    </row>
    <row r="216" ht="15.0" customHeight="1">
      <c r="A216" s="2">
        <v>2024.0</v>
      </c>
      <c r="B216" s="2" t="s">
        <v>51</v>
      </c>
      <c r="C216" s="2">
        <v>7.0</v>
      </c>
      <c r="D216" s="2" t="s">
        <v>52</v>
      </c>
      <c r="E216" s="2" t="s">
        <v>25</v>
      </c>
      <c r="F216" s="2" t="s">
        <v>48</v>
      </c>
      <c r="G216" s="2" t="s">
        <v>46</v>
      </c>
      <c r="H216" s="2" t="s">
        <v>47</v>
      </c>
      <c r="I216" s="2" t="s">
        <v>31</v>
      </c>
      <c r="J216" s="2">
        <v>1312.0</v>
      </c>
      <c r="K216" s="2">
        <v>638.0</v>
      </c>
      <c r="L216" s="2">
        <v>267.0</v>
      </c>
      <c r="M216" s="2">
        <v>201.0</v>
      </c>
      <c r="N216" s="2">
        <v>182.0</v>
      </c>
      <c r="O216" s="2">
        <v>438.0</v>
      </c>
      <c r="P216" s="2">
        <v>377.0</v>
      </c>
      <c r="Q216" s="2">
        <v>198.0</v>
      </c>
      <c r="R216" s="2">
        <v>12617.0</v>
      </c>
      <c r="S216" s="2">
        <v>82.0</v>
      </c>
      <c r="T216" s="2">
        <v>12535.0</v>
      </c>
      <c r="U216" s="2">
        <v>82.0</v>
      </c>
      <c r="V216" s="2">
        <v>0.0</v>
      </c>
      <c r="W216" s="2">
        <v>12535.0</v>
      </c>
    </row>
    <row r="217" ht="15.0" customHeight="1">
      <c r="A217" s="2">
        <v>2024.0</v>
      </c>
      <c r="B217" s="2" t="s">
        <v>53</v>
      </c>
      <c r="C217" s="2">
        <v>11.0</v>
      </c>
      <c r="D217" s="2" t="s">
        <v>54</v>
      </c>
      <c r="E217" s="2" t="s">
        <v>25</v>
      </c>
      <c r="F217" s="2" t="s">
        <v>26</v>
      </c>
      <c r="G217" s="2" t="s">
        <v>27</v>
      </c>
      <c r="H217" s="2" t="s">
        <v>28</v>
      </c>
      <c r="I217" s="2" t="s">
        <v>29</v>
      </c>
      <c r="J217" s="2">
        <v>5921.0</v>
      </c>
      <c r="K217" s="2">
        <v>3200.0</v>
      </c>
      <c r="L217" s="2">
        <v>959.0</v>
      </c>
      <c r="M217" s="2">
        <v>923.0</v>
      </c>
      <c r="N217" s="2">
        <v>743.0</v>
      </c>
      <c r="O217" s="2">
        <v>1551.0</v>
      </c>
      <c r="P217" s="2">
        <v>1399.0</v>
      </c>
      <c r="Q217" s="2">
        <v>119.0</v>
      </c>
      <c r="R217" s="2">
        <v>25787.0</v>
      </c>
      <c r="S217" s="2">
        <v>16225.0</v>
      </c>
      <c r="T217" s="2">
        <v>9562.0</v>
      </c>
      <c r="U217" s="2">
        <v>15727.0</v>
      </c>
      <c r="V217" s="2">
        <v>498.0</v>
      </c>
      <c r="W217" s="2">
        <v>10060.0</v>
      </c>
    </row>
    <row r="218" ht="15.0" customHeight="1">
      <c r="A218" s="2">
        <v>2024.0</v>
      </c>
      <c r="B218" s="2" t="s">
        <v>53</v>
      </c>
      <c r="C218" s="2">
        <v>11.0</v>
      </c>
      <c r="D218" s="2" t="s">
        <v>54</v>
      </c>
      <c r="E218" s="2" t="s">
        <v>25</v>
      </c>
      <c r="F218" s="2" t="s">
        <v>26</v>
      </c>
      <c r="G218" s="2" t="s">
        <v>27</v>
      </c>
      <c r="H218" s="2" t="s">
        <v>28</v>
      </c>
      <c r="I218" s="2" t="s">
        <v>30</v>
      </c>
      <c r="J218" s="2">
        <v>1746.0</v>
      </c>
      <c r="K218" s="2">
        <v>670.0</v>
      </c>
      <c r="L218" s="2">
        <v>168.0</v>
      </c>
      <c r="M218" s="2">
        <v>159.0</v>
      </c>
      <c r="N218" s="2">
        <v>125.0</v>
      </c>
      <c r="O218" s="2">
        <v>252.0</v>
      </c>
      <c r="P218" s="2">
        <v>227.0</v>
      </c>
      <c r="Q218" s="2">
        <v>26.0</v>
      </c>
      <c r="R218" s="2">
        <v>4099.0</v>
      </c>
      <c r="S218" s="2">
        <v>2257.0</v>
      </c>
      <c r="T218" s="2">
        <v>1842.0</v>
      </c>
      <c r="U218" s="2">
        <v>2257.0</v>
      </c>
      <c r="V218" s="2">
        <v>0.0</v>
      </c>
      <c r="W218" s="2">
        <v>1842.0</v>
      </c>
    </row>
    <row r="219" ht="15.0" customHeight="1">
      <c r="A219" s="2">
        <v>2024.0</v>
      </c>
      <c r="B219" s="2" t="s">
        <v>53</v>
      </c>
      <c r="C219" s="2">
        <v>11.0</v>
      </c>
      <c r="D219" s="2" t="s">
        <v>54</v>
      </c>
      <c r="E219" s="2" t="s">
        <v>25</v>
      </c>
      <c r="F219" s="2" t="s">
        <v>26</v>
      </c>
      <c r="G219" s="2" t="s">
        <v>27</v>
      </c>
      <c r="H219" s="2" t="s">
        <v>28</v>
      </c>
      <c r="I219" s="2" t="s">
        <v>31</v>
      </c>
      <c r="J219" s="2">
        <v>403.0</v>
      </c>
      <c r="K219" s="2">
        <v>239.0</v>
      </c>
      <c r="L219" s="2">
        <v>166.0</v>
      </c>
      <c r="M219" s="2">
        <v>150.0</v>
      </c>
      <c r="N219" s="2">
        <v>120.0</v>
      </c>
      <c r="O219" s="2">
        <v>240.0</v>
      </c>
      <c r="P219" s="2">
        <v>216.0</v>
      </c>
      <c r="Q219" s="2">
        <v>16.0</v>
      </c>
      <c r="R219" s="2">
        <v>4117.0</v>
      </c>
      <c r="S219" s="2">
        <v>649.0</v>
      </c>
      <c r="T219" s="2">
        <v>3468.0</v>
      </c>
      <c r="U219" s="2">
        <v>649.0</v>
      </c>
      <c r="V219" s="2">
        <v>0.0</v>
      </c>
      <c r="W219" s="2">
        <v>3468.0</v>
      </c>
    </row>
    <row r="220" ht="15.0" customHeight="1">
      <c r="A220" s="2">
        <v>2024.0</v>
      </c>
      <c r="B220" s="2" t="s">
        <v>53</v>
      </c>
      <c r="C220" s="2">
        <v>11.0</v>
      </c>
      <c r="D220" s="2" t="s">
        <v>54</v>
      </c>
      <c r="E220" s="2" t="s">
        <v>25</v>
      </c>
      <c r="F220" s="2" t="s">
        <v>26</v>
      </c>
      <c r="G220" s="2" t="s">
        <v>32</v>
      </c>
      <c r="H220" s="2" t="s">
        <v>28</v>
      </c>
      <c r="I220" s="2" t="s">
        <v>29</v>
      </c>
      <c r="J220" s="2">
        <v>9306.0</v>
      </c>
      <c r="K220" s="2">
        <v>5157.0</v>
      </c>
      <c r="L220" s="2">
        <v>2340.0</v>
      </c>
      <c r="M220" s="2">
        <v>2227.0</v>
      </c>
      <c r="N220" s="2">
        <v>2026.0</v>
      </c>
      <c r="O220" s="2">
        <v>3023.0</v>
      </c>
      <c r="P220" s="2">
        <v>2532.0</v>
      </c>
      <c r="Q220" s="2">
        <v>6.0</v>
      </c>
      <c r="R220" s="2">
        <v>20482.0</v>
      </c>
      <c r="S220" s="2">
        <v>12400.0</v>
      </c>
      <c r="T220" s="2">
        <v>8082.0</v>
      </c>
      <c r="U220" s="2">
        <v>12144.0</v>
      </c>
      <c r="V220" s="2">
        <v>256.0</v>
      </c>
      <c r="W220" s="2">
        <v>8338.0</v>
      </c>
    </row>
    <row r="221" ht="15.0" customHeight="1">
      <c r="A221" s="2">
        <v>2024.0</v>
      </c>
      <c r="B221" s="2" t="s">
        <v>53</v>
      </c>
      <c r="C221" s="2">
        <v>11.0</v>
      </c>
      <c r="D221" s="2" t="s">
        <v>54</v>
      </c>
      <c r="E221" s="2" t="s">
        <v>25</v>
      </c>
      <c r="F221" s="2" t="s">
        <v>26</v>
      </c>
      <c r="G221" s="2" t="s">
        <v>32</v>
      </c>
      <c r="H221" s="2" t="s">
        <v>28</v>
      </c>
      <c r="I221" s="2" t="s">
        <v>30</v>
      </c>
      <c r="J221" s="2">
        <v>704.0</v>
      </c>
      <c r="K221" s="2">
        <v>253.0</v>
      </c>
      <c r="L221" s="2">
        <v>84.0</v>
      </c>
      <c r="M221" s="2">
        <v>79.0</v>
      </c>
      <c r="N221" s="2">
        <v>74.0</v>
      </c>
      <c r="O221" s="2">
        <v>113.0</v>
      </c>
      <c r="P221" s="2">
        <v>99.0</v>
      </c>
      <c r="Q221" s="2">
        <v>0.0</v>
      </c>
      <c r="R221" s="2">
        <v>782.0</v>
      </c>
      <c r="S221" s="2">
        <v>207.0</v>
      </c>
      <c r="T221" s="2">
        <v>575.0</v>
      </c>
      <c r="U221" s="2">
        <v>207.0</v>
      </c>
      <c r="V221" s="2">
        <v>0.0</v>
      </c>
      <c r="W221" s="2">
        <v>575.0</v>
      </c>
    </row>
    <row r="222" ht="15.0" customHeight="1">
      <c r="A222" s="2">
        <v>2024.0</v>
      </c>
      <c r="B222" s="2" t="s">
        <v>53</v>
      </c>
      <c r="C222" s="2">
        <v>11.0</v>
      </c>
      <c r="D222" s="2" t="s">
        <v>54</v>
      </c>
      <c r="E222" s="2" t="s">
        <v>25</v>
      </c>
      <c r="F222" s="2" t="s">
        <v>26</v>
      </c>
      <c r="G222" s="2" t="s">
        <v>32</v>
      </c>
      <c r="H222" s="2" t="s">
        <v>28</v>
      </c>
      <c r="I222" s="2" t="s">
        <v>31</v>
      </c>
      <c r="J222" s="2">
        <v>3273.0</v>
      </c>
      <c r="K222" s="2">
        <v>1837.0</v>
      </c>
      <c r="L222" s="2">
        <v>1080.0</v>
      </c>
      <c r="M222" s="2">
        <v>1012.0</v>
      </c>
      <c r="N222" s="2">
        <v>872.0</v>
      </c>
      <c r="O222" s="2">
        <v>1307.0</v>
      </c>
      <c r="P222" s="2">
        <v>1074.0</v>
      </c>
      <c r="Q222" s="2">
        <v>0.0</v>
      </c>
      <c r="R222" s="2">
        <v>8534.0</v>
      </c>
      <c r="S222" s="2">
        <v>364.0</v>
      </c>
      <c r="T222" s="2">
        <v>8170.0</v>
      </c>
      <c r="U222" s="2">
        <v>364.0</v>
      </c>
      <c r="V222" s="2">
        <v>0.0</v>
      </c>
      <c r="W222" s="2">
        <v>8170.0</v>
      </c>
    </row>
    <row r="223" ht="15.0" customHeight="1">
      <c r="A223" s="2">
        <v>2024.0</v>
      </c>
      <c r="B223" s="2" t="s">
        <v>53</v>
      </c>
      <c r="C223" s="2">
        <v>11.0</v>
      </c>
      <c r="D223" s="2" t="s">
        <v>54</v>
      </c>
      <c r="E223" s="2" t="s">
        <v>25</v>
      </c>
      <c r="F223" s="2" t="s">
        <v>26</v>
      </c>
      <c r="G223" s="2" t="s">
        <v>33</v>
      </c>
      <c r="H223" s="2" t="s">
        <v>28</v>
      </c>
      <c r="I223" s="2" t="s">
        <v>29</v>
      </c>
      <c r="J223" s="2">
        <v>11288.0</v>
      </c>
      <c r="K223" s="2">
        <v>6623.0</v>
      </c>
      <c r="L223" s="2">
        <v>3010.0</v>
      </c>
      <c r="M223" s="2">
        <v>2907.0</v>
      </c>
      <c r="N223" s="2">
        <v>1726.0</v>
      </c>
      <c r="O223" s="2">
        <v>2201.0</v>
      </c>
      <c r="P223" s="2">
        <v>2018.0</v>
      </c>
      <c r="Q223" s="2">
        <v>626.0</v>
      </c>
      <c r="R223" s="2">
        <v>19917.0</v>
      </c>
      <c r="S223" s="2">
        <v>13416.0</v>
      </c>
      <c r="T223" s="2">
        <v>6501.0</v>
      </c>
      <c r="U223" s="2">
        <v>13366.0</v>
      </c>
      <c r="V223" s="2">
        <v>50.0</v>
      </c>
      <c r="W223" s="2">
        <v>6551.0</v>
      </c>
    </row>
    <row r="224" ht="15.0" customHeight="1">
      <c r="A224" s="2">
        <v>2024.0</v>
      </c>
      <c r="B224" s="2" t="s">
        <v>53</v>
      </c>
      <c r="C224" s="2">
        <v>11.0</v>
      </c>
      <c r="D224" s="2" t="s">
        <v>54</v>
      </c>
      <c r="E224" s="2" t="s">
        <v>25</v>
      </c>
      <c r="F224" s="2" t="s">
        <v>26</v>
      </c>
      <c r="G224" s="2" t="s">
        <v>33</v>
      </c>
      <c r="H224" s="2" t="s">
        <v>28</v>
      </c>
      <c r="I224" s="2" t="s">
        <v>30</v>
      </c>
      <c r="J224" s="2">
        <v>2876.0</v>
      </c>
      <c r="K224" s="2">
        <v>1612.0</v>
      </c>
      <c r="L224" s="2">
        <v>625.0</v>
      </c>
      <c r="M224" s="2">
        <v>585.0</v>
      </c>
      <c r="N224" s="2">
        <v>363.0</v>
      </c>
      <c r="O224" s="2">
        <v>457.0</v>
      </c>
      <c r="P224" s="2">
        <v>416.0</v>
      </c>
      <c r="Q224" s="2">
        <v>49.0</v>
      </c>
      <c r="R224" s="2">
        <v>3839.0</v>
      </c>
      <c r="S224" s="2">
        <v>1981.0</v>
      </c>
      <c r="T224" s="2">
        <v>1859.0</v>
      </c>
      <c r="U224" s="2">
        <v>1981.0</v>
      </c>
      <c r="V224" s="2">
        <v>0.0</v>
      </c>
      <c r="W224" s="2">
        <v>1859.0</v>
      </c>
    </row>
    <row r="225" ht="15.0" customHeight="1">
      <c r="A225" s="2">
        <v>2024.0</v>
      </c>
      <c r="B225" s="2" t="s">
        <v>53</v>
      </c>
      <c r="C225" s="2">
        <v>11.0</v>
      </c>
      <c r="D225" s="2" t="s">
        <v>54</v>
      </c>
      <c r="E225" s="2" t="s">
        <v>25</v>
      </c>
      <c r="F225" s="2" t="s">
        <v>26</v>
      </c>
      <c r="G225" s="2" t="s">
        <v>33</v>
      </c>
      <c r="H225" s="2" t="s">
        <v>28</v>
      </c>
      <c r="I225" s="2" t="s">
        <v>31</v>
      </c>
      <c r="J225" s="2">
        <v>358.0</v>
      </c>
      <c r="K225" s="2">
        <v>169.0</v>
      </c>
      <c r="L225" s="2">
        <v>128.0</v>
      </c>
      <c r="M225" s="2">
        <v>118.0</v>
      </c>
      <c r="N225" s="2">
        <v>73.0</v>
      </c>
      <c r="O225" s="2">
        <v>91.0</v>
      </c>
      <c r="P225" s="2">
        <v>81.0</v>
      </c>
      <c r="Q225" s="2">
        <v>19.0</v>
      </c>
      <c r="R225" s="2">
        <v>838.0</v>
      </c>
      <c r="S225" s="2">
        <v>72.0</v>
      </c>
      <c r="T225" s="2">
        <v>766.0</v>
      </c>
      <c r="U225" s="2">
        <v>72.0</v>
      </c>
      <c r="V225" s="2">
        <v>0.0</v>
      </c>
      <c r="W225" s="2">
        <v>766.0</v>
      </c>
    </row>
    <row r="226" ht="15.0" customHeight="1">
      <c r="A226" s="2">
        <v>2024.0</v>
      </c>
      <c r="B226" s="2" t="s">
        <v>53</v>
      </c>
      <c r="C226" s="2">
        <v>11.0</v>
      </c>
      <c r="D226" s="2" t="s">
        <v>54</v>
      </c>
      <c r="E226" s="2" t="s">
        <v>25</v>
      </c>
      <c r="F226" s="2" t="s">
        <v>26</v>
      </c>
      <c r="G226" s="2" t="s">
        <v>34</v>
      </c>
      <c r="H226" s="2" t="s">
        <v>35</v>
      </c>
      <c r="I226" s="2" t="s">
        <v>29</v>
      </c>
      <c r="J226" s="2">
        <v>9173.0</v>
      </c>
      <c r="K226" s="2">
        <v>5908.0</v>
      </c>
      <c r="L226" s="2">
        <v>2901.0</v>
      </c>
      <c r="M226" s="2">
        <v>2801.0</v>
      </c>
      <c r="N226" s="2">
        <v>1154.0</v>
      </c>
      <c r="O226" s="2">
        <v>1539.0</v>
      </c>
      <c r="P226" s="2">
        <v>1125.0</v>
      </c>
      <c r="Q226" s="2">
        <v>0.0</v>
      </c>
      <c r="R226" s="2">
        <v>16186.0</v>
      </c>
      <c r="S226" s="2">
        <v>9193.0</v>
      </c>
      <c r="T226" s="2">
        <v>6993.0</v>
      </c>
      <c r="U226" s="2">
        <v>8743.0</v>
      </c>
      <c r="V226" s="2">
        <v>450.0</v>
      </c>
      <c r="W226" s="2">
        <v>7444.0</v>
      </c>
    </row>
    <row r="227" ht="15.0" customHeight="1">
      <c r="A227" s="2">
        <v>2024.0</v>
      </c>
      <c r="B227" s="2" t="s">
        <v>53</v>
      </c>
      <c r="C227" s="2">
        <v>11.0</v>
      </c>
      <c r="D227" s="2" t="s">
        <v>54</v>
      </c>
      <c r="E227" s="2" t="s">
        <v>25</v>
      </c>
      <c r="F227" s="2" t="s">
        <v>26</v>
      </c>
      <c r="G227" s="2" t="s">
        <v>34</v>
      </c>
      <c r="H227" s="2" t="s">
        <v>35</v>
      </c>
      <c r="I227" s="2" t="s">
        <v>30</v>
      </c>
      <c r="J227" s="2">
        <v>2884.0</v>
      </c>
      <c r="K227" s="2">
        <v>1514.0</v>
      </c>
      <c r="L227" s="2">
        <v>656.0</v>
      </c>
      <c r="M227" s="2">
        <v>630.0</v>
      </c>
      <c r="N227" s="2">
        <v>264.0</v>
      </c>
      <c r="O227" s="2">
        <v>365.0</v>
      </c>
      <c r="P227" s="2">
        <v>274.0</v>
      </c>
      <c r="Q227" s="2">
        <v>0.0</v>
      </c>
      <c r="R227" s="2">
        <v>3910.0</v>
      </c>
      <c r="S227" s="2">
        <v>1661.0</v>
      </c>
      <c r="T227" s="2">
        <v>2249.0</v>
      </c>
      <c r="U227" s="2">
        <v>1661.0</v>
      </c>
      <c r="V227" s="2">
        <v>0.0</v>
      </c>
      <c r="W227" s="2">
        <v>2249.0</v>
      </c>
    </row>
    <row r="228" ht="15.0" customHeight="1">
      <c r="A228" s="2">
        <v>2024.0</v>
      </c>
      <c r="B228" s="2" t="s">
        <v>53</v>
      </c>
      <c r="C228" s="2">
        <v>11.0</v>
      </c>
      <c r="D228" s="2" t="s">
        <v>54</v>
      </c>
      <c r="E228" s="2" t="s">
        <v>25</v>
      </c>
      <c r="F228" s="2" t="s">
        <v>26</v>
      </c>
      <c r="G228" s="2" t="s">
        <v>34</v>
      </c>
      <c r="H228" s="2" t="s">
        <v>35</v>
      </c>
      <c r="I228" s="2" t="s">
        <v>31</v>
      </c>
      <c r="J228" s="2">
        <v>758.0</v>
      </c>
      <c r="K228" s="2">
        <v>495.0</v>
      </c>
      <c r="L228" s="2">
        <v>255.0</v>
      </c>
      <c r="M228" s="2">
        <v>232.0</v>
      </c>
      <c r="N228" s="2">
        <v>83.0</v>
      </c>
      <c r="O228" s="2">
        <v>118.0</v>
      </c>
      <c r="P228" s="2">
        <v>78.0</v>
      </c>
      <c r="Q228" s="2">
        <v>0.0</v>
      </c>
      <c r="R228" s="2">
        <v>1088.0</v>
      </c>
      <c r="S228" s="2">
        <v>0.0</v>
      </c>
      <c r="T228" s="2">
        <v>1088.0</v>
      </c>
      <c r="U228" s="2">
        <v>0.0</v>
      </c>
      <c r="V228" s="2">
        <v>0.0</v>
      </c>
      <c r="W228" s="2">
        <v>1088.0</v>
      </c>
    </row>
    <row r="229" ht="15.0" customHeight="1">
      <c r="A229" s="2">
        <v>2024.0</v>
      </c>
      <c r="B229" s="2" t="s">
        <v>53</v>
      </c>
      <c r="C229" s="2">
        <v>11.0</v>
      </c>
      <c r="D229" s="2" t="s">
        <v>54</v>
      </c>
      <c r="E229" s="2" t="s">
        <v>25</v>
      </c>
      <c r="F229" s="2" t="s">
        <v>26</v>
      </c>
      <c r="G229" s="2" t="s">
        <v>36</v>
      </c>
      <c r="H229" s="2" t="s">
        <v>35</v>
      </c>
      <c r="I229" s="2" t="s">
        <v>29</v>
      </c>
      <c r="J229" s="2">
        <v>5415.0</v>
      </c>
      <c r="K229" s="2">
        <v>3727.0</v>
      </c>
      <c r="L229" s="2">
        <v>2115.0</v>
      </c>
      <c r="M229" s="2">
        <v>2052.0</v>
      </c>
      <c r="N229" s="2">
        <v>1027.0</v>
      </c>
      <c r="O229" s="2">
        <v>1458.0</v>
      </c>
      <c r="P229" s="2">
        <v>1161.0</v>
      </c>
      <c r="Q229" s="2">
        <v>125.0</v>
      </c>
      <c r="R229" s="2">
        <v>12269.0</v>
      </c>
      <c r="S229" s="2">
        <v>6451.0</v>
      </c>
      <c r="T229" s="2">
        <v>5818.0</v>
      </c>
      <c r="U229" s="2">
        <v>6451.0</v>
      </c>
      <c r="V229" s="2">
        <v>0.0</v>
      </c>
      <c r="W229" s="2">
        <v>5818.0</v>
      </c>
    </row>
    <row r="230" ht="15.0" customHeight="1">
      <c r="A230" s="2">
        <v>2024.0</v>
      </c>
      <c r="B230" s="2" t="s">
        <v>53</v>
      </c>
      <c r="C230" s="2">
        <v>11.0</v>
      </c>
      <c r="D230" s="2" t="s">
        <v>54</v>
      </c>
      <c r="E230" s="2" t="s">
        <v>25</v>
      </c>
      <c r="F230" s="2" t="s">
        <v>26</v>
      </c>
      <c r="G230" s="2" t="s">
        <v>36</v>
      </c>
      <c r="H230" s="2" t="s">
        <v>35</v>
      </c>
      <c r="I230" s="2" t="s">
        <v>30</v>
      </c>
      <c r="J230" s="2">
        <v>504.0</v>
      </c>
      <c r="K230" s="2">
        <v>261.0</v>
      </c>
      <c r="L230" s="2">
        <v>139.0</v>
      </c>
      <c r="M230" s="2">
        <v>136.0</v>
      </c>
      <c r="N230" s="2">
        <v>70.0</v>
      </c>
      <c r="O230" s="2">
        <v>108.0</v>
      </c>
      <c r="P230" s="2">
        <v>93.0</v>
      </c>
      <c r="Q230" s="2">
        <v>7.0</v>
      </c>
      <c r="R230" s="2">
        <v>1141.0</v>
      </c>
      <c r="S230" s="2">
        <v>221.0</v>
      </c>
      <c r="T230" s="2">
        <v>920.0</v>
      </c>
      <c r="U230" s="2">
        <v>221.0</v>
      </c>
      <c r="V230" s="2">
        <v>0.0</v>
      </c>
      <c r="W230" s="2">
        <v>920.0</v>
      </c>
    </row>
    <row r="231" ht="15.0" customHeight="1">
      <c r="A231" s="2">
        <v>2024.0</v>
      </c>
      <c r="B231" s="2" t="s">
        <v>53</v>
      </c>
      <c r="C231" s="2">
        <v>11.0</v>
      </c>
      <c r="D231" s="2" t="s">
        <v>54</v>
      </c>
      <c r="E231" s="2" t="s">
        <v>25</v>
      </c>
      <c r="F231" s="2" t="s">
        <v>26</v>
      </c>
      <c r="G231" s="2" t="s">
        <v>36</v>
      </c>
      <c r="H231" s="2" t="s">
        <v>35</v>
      </c>
      <c r="I231" s="2" t="s">
        <v>31</v>
      </c>
      <c r="J231" s="2">
        <v>503.0</v>
      </c>
      <c r="K231" s="2">
        <v>324.0</v>
      </c>
      <c r="L231" s="2">
        <v>192.0</v>
      </c>
      <c r="M231" s="2">
        <v>168.0</v>
      </c>
      <c r="N231" s="2">
        <v>91.0</v>
      </c>
      <c r="O231" s="2">
        <v>141.0</v>
      </c>
      <c r="P231" s="2">
        <v>118.0</v>
      </c>
      <c r="Q231" s="2">
        <v>9.0</v>
      </c>
      <c r="R231" s="2">
        <v>1297.0</v>
      </c>
      <c r="S231" s="2">
        <v>0.0</v>
      </c>
      <c r="T231" s="2">
        <v>1297.0</v>
      </c>
      <c r="U231" s="2">
        <v>0.0</v>
      </c>
      <c r="V231" s="2">
        <v>0.0</v>
      </c>
      <c r="W231" s="2">
        <v>1297.0</v>
      </c>
    </row>
    <row r="232" ht="15.0" customHeight="1">
      <c r="A232" s="2">
        <v>2024.0</v>
      </c>
      <c r="B232" s="2" t="s">
        <v>53</v>
      </c>
      <c r="C232" s="2">
        <v>11.0</v>
      </c>
      <c r="D232" s="2" t="s">
        <v>54</v>
      </c>
      <c r="E232" s="2" t="s">
        <v>25</v>
      </c>
      <c r="F232" s="2" t="s">
        <v>26</v>
      </c>
      <c r="G232" s="2" t="s">
        <v>37</v>
      </c>
      <c r="H232" s="2" t="s">
        <v>35</v>
      </c>
      <c r="I232" s="2" t="s">
        <v>29</v>
      </c>
      <c r="J232" s="2">
        <v>967.0</v>
      </c>
      <c r="K232" s="2">
        <v>499.0</v>
      </c>
      <c r="L232" s="2">
        <v>201.0</v>
      </c>
      <c r="M232" s="2">
        <v>190.0</v>
      </c>
      <c r="N232" s="2">
        <v>164.0</v>
      </c>
      <c r="O232" s="2">
        <v>506.0</v>
      </c>
      <c r="P232" s="2">
        <v>390.0</v>
      </c>
      <c r="Q232" s="2">
        <v>0.0</v>
      </c>
      <c r="R232" s="2">
        <v>8775.0</v>
      </c>
      <c r="S232" s="2">
        <v>4393.0</v>
      </c>
      <c r="T232" s="2">
        <v>4381.0</v>
      </c>
      <c r="U232" s="2">
        <v>4393.0</v>
      </c>
      <c r="V232" s="2">
        <v>0.0</v>
      </c>
      <c r="W232" s="2">
        <v>4381.0</v>
      </c>
    </row>
    <row r="233" ht="15.0" customHeight="1">
      <c r="A233" s="2">
        <v>2024.0</v>
      </c>
      <c r="B233" s="2" t="s">
        <v>53</v>
      </c>
      <c r="C233" s="2">
        <v>11.0</v>
      </c>
      <c r="D233" s="2" t="s">
        <v>54</v>
      </c>
      <c r="E233" s="2" t="s">
        <v>25</v>
      </c>
      <c r="F233" s="2" t="s">
        <v>26</v>
      </c>
      <c r="G233" s="2" t="s">
        <v>37</v>
      </c>
      <c r="H233" s="2" t="s">
        <v>35</v>
      </c>
      <c r="I233" s="2" t="s">
        <v>31</v>
      </c>
      <c r="J233" s="2">
        <v>43.0</v>
      </c>
      <c r="K233" s="2">
        <v>35.0</v>
      </c>
      <c r="L233" s="2">
        <v>14.0</v>
      </c>
      <c r="M233" s="2">
        <v>9.0</v>
      </c>
      <c r="N233" s="2">
        <v>9.0</v>
      </c>
      <c r="O233" s="2">
        <v>42.0</v>
      </c>
      <c r="P233" s="2">
        <v>34.0</v>
      </c>
      <c r="Q233" s="2">
        <v>0.0</v>
      </c>
      <c r="R233" s="2">
        <v>811.0</v>
      </c>
      <c r="S233" s="2">
        <v>0.0</v>
      </c>
      <c r="T233" s="2">
        <v>811.0</v>
      </c>
      <c r="U233" s="2">
        <v>0.0</v>
      </c>
      <c r="V233" s="2">
        <v>0.0</v>
      </c>
      <c r="W233" s="2">
        <v>811.0</v>
      </c>
    </row>
    <row r="234" ht="15.0" customHeight="1">
      <c r="A234" s="2">
        <v>2024.0</v>
      </c>
      <c r="B234" s="2" t="s">
        <v>53</v>
      </c>
      <c r="C234" s="2">
        <v>11.0</v>
      </c>
      <c r="D234" s="2" t="s">
        <v>54</v>
      </c>
      <c r="E234" s="2" t="s">
        <v>25</v>
      </c>
      <c r="F234" s="2" t="s">
        <v>26</v>
      </c>
      <c r="G234" s="2" t="s">
        <v>38</v>
      </c>
      <c r="H234" s="2" t="s">
        <v>35</v>
      </c>
      <c r="I234" s="2" t="s">
        <v>29</v>
      </c>
      <c r="J234" s="2">
        <v>2431.0</v>
      </c>
      <c r="K234" s="2">
        <v>1291.0</v>
      </c>
      <c r="L234" s="2">
        <v>731.0</v>
      </c>
      <c r="M234" s="2">
        <v>699.0</v>
      </c>
      <c r="N234" s="2">
        <v>526.0</v>
      </c>
      <c r="O234" s="2">
        <v>946.0</v>
      </c>
      <c r="P234" s="2">
        <v>725.0</v>
      </c>
      <c r="Q234" s="2">
        <v>13.0</v>
      </c>
      <c r="R234" s="2">
        <v>9665.0</v>
      </c>
      <c r="S234" s="2">
        <v>4112.0</v>
      </c>
      <c r="T234" s="2">
        <v>5554.0</v>
      </c>
      <c r="U234" s="2">
        <v>4043.0</v>
      </c>
      <c r="V234" s="2">
        <v>69.0</v>
      </c>
      <c r="W234" s="2">
        <v>5622.0</v>
      </c>
    </row>
    <row r="235" ht="15.0" customHeight="1">
      <c r="A235" s="2">
        <v>2024.0</v>
      </c>
      <c r="B235" s="2" t="s">
        <v>53</v>
      </c>
      <c r="C235" s="2">
        <v>11.0</v>
      </c>
      <c r="D235" s="2" t="s">
        <v>54</v>
      </c>
      <c r="E235" s="2" t="s">
        <v>25</v>
      </c>
      <c r="F235" s="2" t="s">
        <v>26</v>
      </c>
      <c r="G235" s="2" t="s">
        <v>38</v>
      </c>
      <c r="H235" s="2" t="s">
        <v>35</v>
      </c>
      <c r="I235" s="2" t="s">
        <v>30</v>
      </c>
      <c r="J235" s="2">
        <v>2672.0</v>
      </c>
      <c r="K235" s="2">
        <v>977.0</v>
      </c>
      <c r="L235" s="2">
        <v>582.0</v>
      </c>
      <c r="M235" s="2">
        <v>558.0</v>
      </c>
      <c r="N235" s="2">
        <v>393.0</v>
      </c>
      <c r="O235" s="2">
        <v>674.0</v>
      </c>
      <c r="P235" s="2">
        <v>531.0</v>
      </c>
      <c r="Q235" s="2">
        <v>8.0</v>
      </c>
      <c r="R235" s="2">
        <v>7084.0</v>
      </c>
      <c r="S235" s="2">
        <v>6488.0</v>
      </c>
      <c r="T235" s="2">
        <v>596.0</v>
      </c>
      <c r="U235" s="2">
        <v>6488.0</v>
      </c>
      <c r="V235" s="2">
        <v>0.0</v>
      </c>
      <c r="W235" s="2">
        <v>596.0</v>
      </c>
    </row>
    <row r="236" ht="15.0" customHeight="1">
      <c r="A236" s="2">
        <v>2024.0</v>
      </c>
      <c r="B236" s="2" t="s">
        <v>53</v>
      </c>
      <c r="C236" s="2">
        <v>11.0</v>
      </c>
      <c r="D236" s="2" t="s">
        <v>54</v>
      </c>
      <c r="E236" s="2" t="s">
        <v>25</v>
      </c>
      <c r="F236" s="2" t="s">
        <v>26</v>
      </c>
      <c r="G236" s="2" t="s">
        <v>38</v>
      </c>
      <c r="H236" s="2" t="s">
        <v>35</v>
      </c>
      <c r="I236" s="2" t="s">
        <v>31</v>
      </c>
      <c r="J236" s="2">
        <v>466.0</v>
      </c>
      <c r="K236" s="2">
        <v>251.0</v>
      </c>
      <c r="L236" s="2">
        <v>126.0</v>
      </c>
      <c r="M236" s="2">
        <v>111.0</v>
      </c>
      <c r="N236" s="2">
        <v>90.0</v>
      </c>
      <c r="O236" s="2">
        <v>153.0</v>
      </c>
      <c r="P236" s="2">
        <v>122.0</v>
      </c>
      <c r="Q236" s="2">
        <v>0.0</v>
      </c>
      <c r="R236" s="2">
        <v>1736.0</v>
      </c>
      <c r="S236" s="2">
        <v>0.0</v>
      </c>
      <c r="T236" s="2">
        <v>1736.0</v>
      </c>
      <c r="U236" s="2">
        <v>0.0</v>
      </c>
      <c r="V236" s="2">
        <v>0.0</v>
      </c>
      <c r="W236" s="2">
        <v>1736.0</v>
      </c>
    </row>
    <row r="237" ht="15.0" customHeight="1">
      <c r="A237" s="2">
        <v>2024.0</v>
      </c>
      <c r="B237" s="2" t="s">
        <v>53</v>
      </c>
      <c r="C237" s="2">
        <v>11.0</v>
      </c>
      <c r="D237" s="2" t="s">
        <v>54</v>
      </c>
      <c r="E237" s="2" t="s">
        <v>25</v>
      </c>
      <c r="F237" s="2" t="s">
        <v>26</v>
      </c>
      <c r="G237" s="2" t="s">
        <v>39</v>
      </c>
      <c r="H237" s="2" t="s">
        <v>40</v>
      </c>
      <c r="I237" s="2" t="s">
        <v>29</v>
      </c>
      <c r="J237" s="2">
        <v>9108.0</v>
      </c>
      <c r="K237" s="2">
        <v>5892.0</v>
      </c>
      <c r="L237" s="2">
        <v>3207.0</v>
      </c>
      <c r="M237" s="2">
        <v>3058.0</v>
      </c>
      <c r="N237" s="2">
        <v>1269.0</v>
      </c>
      <c r="O237" s="2">
        <v>1644.0</v>
      </c>
      <c r="P237" s="2">
        <v>1168.0</v>
      </c>
      <c r="Q237" s="2">
        <v>0.0</v>
      </c>
      <c r="R237" s="2">
        <v>15396.0</v>
      </c>
      <c r="S237" s="2">
        <v>7727.0</v>
      </c>
      <c r="T237" s="2">
        <v>7670.0</v>
      </c>
      <c r="U237" s="2">
        <v>7727.0</v>
      </c>
      <c r="V237" s="2">
        <v>0.0</v>
      </c>
      <c r="W237" s="2">
        <v>7670.0</v>
      </c>
    </row>
    <row r="238" ht="15.0" customHeight="1">
      <c r="A238" s="2">
        <v>2024.0</v>
      </c>
      <c r="B238" s="2" t="s">
        <v>53</v>
      </c>
      <c r="C238" s="2">
        <v>11.0</v>
      </c>
      <c r="D238" s="2" t="s">
        <v>54</v>
      </c>
      <c r="E238" s="2" t="s">
        <v>25</v>
      </c>
      <c r="F238" s="2" t="s">
        <v>26</v>
      </c>
      <c r="G238" s="2" t="s">
        <v>39</v>
      </c>
      <c r="H238" s="2" t="s">
        <v>40</v>
      </c>
      <c r="I238" s="2" t="s">
        <v>30</v>
      </c>
      <c r="J238" s="2">
        <v>1191.0</v>
      </c>
      <c r="K238" s="2">
        <v>553.0</v>
      </c>
      <c r="L238" s="2">
        <v>209.0</v>
      </c>
      <c r="M238" s="2">
        <v>203.0</v>
      </c>
      <c r="N238" s="2">
        <v>86.0</v>
      </c>
      <c r="O238" s="2">
        <v>118.0</v>
      </c>
      <c r="P238" s="2">
        <v>79.0</v>
      </c>
      <c r="Q238" s="2">
        <v>0.0</v>
      </c>
      <c r="R238" s="2">
        <v>979.0</v>
      </c>
      <c r="S238" s="2">
        <v>477.0</v>
      </c>
      <c r="T238" s="2">
        <v>502.0</v>
      </c>
      <c r="U238" s="2">
        <v>477.0</v>
      </c>
      <c r="V238" s="2">
        <v>0.0</v>
      </c>
      <c r="W238" s="2">
        <v>502.0</v>
      </c>
    </row>
    <row r="239" ht="15.0" customHeight="1">
      <c r="A239" s="2">
        <v>2024.0</v>
      </c>
      <c r="B239" s="2" t="s">
        <v>53</v>
      </c>
      <c r="C239" s="2">
        <v>11.0</v>
      </c>
      <c r="D239" s="2" t="s">
        <v>54</v>
      </c>
      <c r="E239" s="2" t="s">
        <v>25</v>
      </c>
      <c r="F239" s="2" t="s">
        <v>26</v>
      </c>
      <c r="G239" s="2" t="s">
        <v>39</v>
      </c>
      <c r="H239" s="2" t="s">
        <v>40</v>
      </c>
      <c r="I239" s="2" t="s">
        <v>31</v>
      </c>
      <c r="J239" s="2">
        <v>3402.0</v>
      </c>
      <c r="K239" s="2">
        <v>1778.0</v>
      </c>
      <c r="L239" s="2">
        <v>824.0</v>
      </c>
      <c r="M239" s="2">
        <v>726.0</v>
      </c>
      <c r="N239" s="2">
        <v>290.0</v>
      </c>
      <c r="O239" s="2">
        <v>370.0</v>
      </c>
      <c r="P239" s="2">
        <v>255.0</v>
      </c>
      <c r="Q239" s="2">
        <v>0.0</v>
      </c>
      <c r="R239" s="2">
        <v>3397.0</v>
      </c>
      <c r="S239" s="2">
        <v>0.0</v>
      </c>
      <c r="T239" s="2">
        <v>3397.0</v>
      </c>
      <c r="U239" s="2">
        <v>0.0</v>
      </c>
      <c r="V239" s="2">
        <v>0.0</v>
      </c>
      <c r="W239" s="2">
        <v>3397.0</v>
      </c>
    </row>
    <row r="240" ht="15.0" customHeight="1">
      <c r="A240" s="2">
        <v>2024.0</v>
      </c>
      <c r="B240" s="2" t="s">
        <v>53</v>
      </c>
      <c r="C240" s="2">
        <v>11.0</v>
      </c>
      <c r="D240" s="2" t="s">
        <v>54</v>
      </c>
      <c r="E240" s="2" t="s">
        <v>25</v>
      </c>
      <c r="F240" s="2" t="s">
        <v>26</v>
      </c>
      <c r="G240" s="2" t="s">
        <v>41</v>
      </c>
      <c r="H240" s="2" t="s">
        <v>42</v>
      </c>
      <c r="I240" s="2" t="s">
        <v>29</v>
      </c>
      <c r="J240" s="2">
        <v>18236.0</v>
      </c>
      <c r="K240" s="2">
        <v>10864.0</v>
      </c>
      <c r="L240" s="2">
        <v>5764.0</v>
      </c>
      <c r="M240" s="2">
        <v>5444.0</v>
      </c>
      <c r="N240" s="2">
        <v>3323.0</v>
      </c>
      <c r="O240" s="2">
        <v>4276.0</v>
      </c>
      <c r="P240" s="2">
        <v>3467.0</v>
      </c>
      <c r="Q240" s="2">
        <v>0.0</v>
      </c>
      <c r="R240" s="2">
        <v>27375.0</v>
      </c>
      <c r="S240" s="2">
        <v>13762.0</v>
      </c>
      <c r="T240" s="2">
        <v>13613.0</v>
      </c>
      <c r="U240" s="2">
        <v>13167.0</v>
      </c>
      <c r="V240" s="2">
        <v>595.0</v>
      </c>
      <c r="W240" s="2">
        <v>14208.0</v>
      </c>
    </row>
    <row r="241" ht="15.0" customHeight="1">
      <c r="A241" s="2">
        <v>2024.0</v>
      </c>
      <c r="B241" s="2" t="s">
        <v>53</v>
      </c>
      <c r="C241" s="2">
        <v>11.0</v>
      </c>
      <c r="D241" s="2" t="s">
        <v>54</v>
      </c>
      <c r="E241" s="2" t="s">
        <v>25</v>
      </c>
      <c r="F241" s="2" t="s">
        <v>26</v>
      </c>
      <c r="G241" s="2" t="s">
        <v>41</v>
      </c>
      <c r="H241" s="2" t="s">
        <v>42</v>
      </c>
      <c r="I241" s="2" t="s">
        <v>30</v>
      </c>
      <c r="J241" s="2">
        <v>9421.0</v>
      </c>
      <c r="K241" s="2">
        <v>4384.0</v>
      </c>
      <c r="L241" s="2">
        <v>2080.0</v>
      </c>
      <c r="M241" s="2">
        <v>1994.0</v>
      </c>
      <c r="N241" s="2">
        <v>1177.0</v>
      </c>
      <c r="O241" s="2">
        <v>1496.0</v>
      </c>
      <c r="P241" s="2">
        <v>1189.0</v>
      </c>
      <c r="Q241" s="2">
        <v>0.0</v>
      </c>
      <c r="R241" s="2">
        <v>9069.0</v>
      </c>
      <c r="S241" s="2">
        <v>7892.0</v>
      </c>
      <c r="T241" s="2">
        <v>1177.0</v>
      </c>
      <c r="U241" s="2">
        <v>7892.0</v>
      </c>
      <c r="V241" s="2">
        <v>0.0</v>
      </c>
      <c r="W241" s="2">
        <v>1177.0</v>
      </c>
    </row>
    <row r="242" ht="15.0" customHeight="1">
      <c r="A242" s="2">
        <v>2024.0</v>
      </c>
      <c r="B242" s="2" t="s">
        <v>53</v>
      </c>
      <c r="C242" s="2">
        <v>11.0</v>
      </c>
      <c r="D242" s="2" t="s">
        <v>54</v>
      </c>
      <c r="E242" s="2" t="s">
        <v>25</v>
      </c>
      <c r="F242" s="2" t="s">
        <v>26</v>
      </c>
      <c r="G242" s="2" t="s">
        <v>41</v>
      </c>
      <c r="H242" s="2" t="s">
        <v>42</v>
      </c>
      <c r="I242" s="2" t="s">
        <v>31</v>
      </c>
      <c r="J242" s="2">
        <v>11802.0</v>
      </c>
      <c r="K242" s="2">
        <v>7157.0</v>
      </c>
      <c r="L242" s="2">
        <v>5025.0</v>
      </c>
      <c r="M242" s="2">
        <v>4572.0</v>
      </c>
      <c r="N242" s="2">
        <v>2710.0</v>
      </c>
      <c r="O242" s="2">
        <v>3490.0</v>
      </c>
      <c r="P242" s="2">
        <v>2851.0</v>
      </c>
      <c r="Q242" s="2">
        <v>0.0</v>
      </c>
      <c r="R242" s="2">
        <v>21836.0</v>
      </c>
      <c r="S242" s="2">
        <v>272.0</v>
      </c>
      <c r="T242" s="2">
        <v>21564.0</v>
      </c>
      <c r="U242" s="2">
        <v>272.0</v>
      </c>
      <c r="V242" s="2">
        <v>0.0</v>
      </c>
      <c r="W242" s="2">
        <v>21564.0</v>
      </c>
    </row>
    <row r="243" ht="15.0" customHeight="1">
      <c r="A243" s="2">
        <v>2024.0</v>
      </c>
      <c r="B243" s="2" t="s">
        <v>53</v>
      </c>
      <c r="C243" s="2">
        <v>11.0</v>
      </c>
      <c r="D243" s="2" t="s">
        <v>54</v>
      </c>
      <c r="E243" s="2" t="s">
        <v>25</v>
      </c>
      <c r="F243" s="2" t="s">
        <v>26</v>
      </c>
      <c r="G243" s="2" t="s">
        <v>43</v>
      </c>
      <c r="H243" s="2" t="s">
        <v>42</v>
      </c>
      <c r="I243" s="2" t="s">
        <v>29</v>
      </c>
      <c r="J243" s="2">
        <v>4488.0</v>
      </c>
      <c r="K243" s="2">
        <v>2185.0</v>
      </c>
      <c r="L243" s="2">
        <v>1210.0</v>
      </c>
      <c r="M243" s="2">
        <v>1127.0</v>
      </c>
      <c r="N243" s="2">
        <v>362.0</v>
      </c>
      <c r="O243" s="2">
        <v>781.0</v>
      </c>
      <c r="P243" s="2">
        <v>602.0</v>
      </c>
      <c r="Q243" s="2">
        <v>4.0</v>
      </c>
      <c r="R243" s="2">
        <v>17588.0</v>
      </c>
      <c r="S243" s="2">
        <v>10173.0</v>
      </c>
      <c r="T243" s="2">
        <v>7416.0</v>
      </c>
      <c r="U243" s="2">
        <v>9672.0</v>
      </c>
      <c r="V243" s="2">
        <v>501.0</v>
      </c>
      <c r="W243" s="2">
        <v>7917.0</v>
      </c>
    </row>
    <row r="244" ht="15.0" customHeight="1">
      <c r="A244" s="2">
        <v>2024.0</v>
      </c>
      <c r="B244" s="2" t="s">
        <v>53</v>
      </c>
      <c r="C244" s="2">
        <v>11.0</v>
      </c>
      <c r="D244" s="2" t="s">
        <v>54</v>
      </c>
      <c r="E244" s="2" t="s">
        <v>25</v>
      </c>
      <c r="F244" s="2" t="s">
        <v>26</v>
      </c>
      <c r="G244" s="2" t="s">
        <v>43</v>
      </c>
      <c r="H244" s="2" t="s">
        <v>42</v>
      </c>
      <c r="I244" s="2" t="s">
        <v>30</v>
      </c>
      <c r="J244" s="2">
        <v>1624.0</v>
      </c>
      <c r="K244" s="2">
        <v>239.0</v>
      </c>
      <c r="L244" s="2">
        <v>92.0</v>
      </c>
      <c r="M244" s="2">
        <v>86.0</v>
      </c>
      <c r="N244" s="2">
        <v>33.0</v>
      </c>
      <c r="O244" s="2">
        <v>90.0</v>
      </c>
      <c r="P244" s="2">
        <v>76.0</v>
      </c>
      <c r="Q244" s="2">
        <v>0.0</v>
      </c>
      <c r="R244" s="2">
        <v>2521.0</v>
      </c>
      <c r="S244" s="2">
        <v>1926.0</v>
      </c>
      <c r="T244" s="2">
        <v>595.0</v>
      </c>
      <c r="U244" s="2">
        <v>1926.0</v>
      </c>
      <c r="V244" s="2">
        <v>0.0</v>
      </c>
      <c r="W244" s="2">
        <v>595.0</v>
      </c>
    </row>
    <row r="245" ht="15.0" customHeight="1">
      <c r="A245" s="2">
        <v>2024.0</v>
      </c>
      <c r="B245" s="2" t="s">
        <v>53</v>
      </c>
      <c r="C245" s="2">
        <v>11.0</v>
      </c>
      <c r="D245" s="2" t="s">
        <v>54</v>
      </c>
      <c r="E245" s="2" t="s">
        <v>25</v>
      </c>
      <c r="F245" s="2" t="s">
        <v>26</v>
      </c>
      <c r="G245" s="2" t="s">
        <v>43</v>
      </c>
      <c r="H245" s="2" t="s">
        <v>42</v>
      </c>
      <c r="I245" s="2" t="s">
        <v>31</v>
      </c>
      <c r="J245" s="2">
        <v>303.0</v>
      </c>
      <c r="K245" s="2">
        <v>205.0</v>
      </c>
      <c r="L245" s="2">
        <v>129.0</v>
      </c>
      <c r="M245" s="2">
        <v>114.0</v>
      </c>
      <c r="N245" s="2">
        <v>38.0</v>
      </c>
      <c r="O245" s="2">
        <v>118.0</v>
      </c>
      <c r="P245" s="2">
        <v>89.0</v>
      </c>
      <c r="Q245" s="2">
        <v>2.0</v>
      </c>
      <c r="R245" s="2">
        <v>3040.0</v>
      </c>
      <c r="S245" s="2">
        <v>0.0</v>
      </c>
      <c r="T245" s="2">
        <v>3040.0</v>
      </c>
      <c r="U245" s="2">
        <v>0.0</v>
      </c>
      <c r="V245" s="2">
        <v>0.0</v>
      </c>
      <c r="W245" s="2">
        <v>3040.0</v>
      </c>
    </row>
    <row r="246" ht="15.0" customHeight="1">
      <c r="A246" s="2">
        <v>2024.0</v>
      </c>
      <c r="B246" s="2" t="s">
        <v>53</v>
      </c>
      <c r="C246" s="2">
        <v>11.0</v>
      </c>
      <c r="D246" s="2" t="s">
        <v>54</v>
      </c>
      <c r="E246" s="2" t="s">
        <v>25</v>
      </c>
      <c r="F246" s="2" t="s">
        <v>26</v>
      </c>
      <c r="G246" s="2" t="s">
        <v>44</v>
      </c>
      <c r="H246" s="2" t="s">
        <v>45</v>
      </c>
      <c r="I246" s="2" t="s">
        <v>29</v>
      </c>
      <c r="J246" s="2">
        <v>5804.0</v>
      </c>
      <c r="K246" s="2">
        <v>3277.0</v>
      </c>
      <c r="L246" s="2">
        <v>1169.0</v>
      </c>
      <c r="M246" s="2">
        <v>1108.0</v>
      </c>
      <c r="N246" s="2">
        <v>893.0</v>
      </c>
      <c r="O246" s="2">
        <v>1693.0</v>
      </c>
      <c r="P246" s="2">
        <v>1444.0</v>
      </c>
      <c r="Q246" s="2">
        <v>618.0</v>
      </c>
      <c r="R246" s="2">
        <v>49505.0</v>
      </c>
      <c r="S246" s="2">
        <v>31841.0</v>
      </c>
      <c r="T246" s="2">
        <v>17663.0</v>
      </c>
      <c r="U246" s="2">
        <v>31484.0</v>
      </c>
      <c r="V246" s="2">
        <v>357.0</v>
      </c>
      <c r="W246" s="2">
        <v>18021.0</v>
      </c>
    </row>
    <row r="247" ht="15.0" customHeight="1">
      <c r="A247" s="2">
        <v>2024.0</v>
      </c>
      <c r="B247" s="2" t="s">
        <v>53</v>
      </c>
      <c r="C247" s="2">
        <v>11.0</v>
      </c>
      <c r="D247" s="2" t="s">
        <v>54</v>
      </c>
      <c r="E247" s="2" t="s">
        <v>25</v>
      </c>
      <c r="F247" s="2" t="s">
        <v>26</v>
      </c>
      <c r="G247" s="2" t="s">
        <v>44</v>
      </c>
      <c r="H247" s="2" t="s">
        <v>45</v>
      </c>
      <c r="I247" s="2" t="s">
        <v>30</v>
      </c>
      <c r="J247" s="2">
        <v>2309.0</v>
      </c>
      <c r="K247" s="2">
        <v>927.0</v>
      </c>
      <c r="L247" s="2">
        <v>260.0</v>
      </c>
      <c r="M247" s="2">
        <v>250.0</v>
      </c>
      <c r="N247" s="2">
        <v>185.0</v>
      </c>
      <c r="O247" s="2">
        <v>357.0</v>
      </c>
      <c r="P247" s="2">
        <v>294.0</v>
      </c>
      <c r="Q247" s="2">
        <v>123.0</v>
      </c>
      <c r="R247" s="2">
        <v>9043.0</v>
      </c>
      <c r="S247" s="2">
        <v>6120.0</v>
      </c>
      <c r="T247" s="2">
        <v>2922.0</v>
      </c>
      <c r="U247" s="2">
        <v>6120.0</v>
      </c>
      <c r="V247" s="2">
        <v>0.0</v>
      </c>
      <c r="W247" s="2">
        <v>2922.0</v>
      </c>
    </row>
    <row r="248" ht="15.0" customHeight="1">
      <c r="A248" s="2">
        <v>2024.0</v>
      </c>
      <c r="B248" s="2" t="s">
        <v>53</v>
      </c>
      <c r="C248" s="2">
        <v>11.0</v>
      </c>
      <c r="D248" s="2" t="s">
        <v>54</v>
      </c>
      <c r="E248" s="2" t="s">
        <v>25</v>
      </c>
      <c r="F248" s="2" t="s">
        <v>26</v>
      </c>
      <c r="G248" s="2" t="s">
        <v>44</v>
      </c>
      <c r="H248" s="2" t="s">
        <v>45</v>
      </c>
      <c r="I248" s="2" t="s">
        <v>31</v>
      </c>
      <c r="J248" s="2">
        <v>891.0</v>
      </c>
      <c r="K248" s="2">
        <v>516.0</v>
      </c>
      <c r="L248" s="2">
        <v>153.0</v>
      </c>
      <c r="M248" s="2">
        <v>134.0</v>
      </c>
      <c r="N248" s="2">
        <v>109.0</v>
      </c>
      <c r="O248" s="2">
        <v>192.0</v>
      </c>
      <c r="P248" s="2">
        <v>152.0</v>
      </c>
      <c r="Q248" s="2">
        <v>77.0</v>
      </c>
      <c r="R248" s="2">
        <v>5201.0</v>
      </c>
      <c r="S248" s="2">
        <v>90.0</v>
      </c>
      <c r="T248" s="2">
        <v>5111.0</v>
      </c>
      <c r="U248" s="2">
        <v>90.0</v>
      </c>
      <c r="V248" s="2">
        <v>0.0</v>
      </c>
      <c r="W248" s="2">
        <v>5111.0</v>
      </c>
    </row>
    <row r="249" ht="15.0" customHeight="1">
      <c r="A249" s="2">
        <v>2024.0</v>
      </c>
      <c r="B249" s="2" t="s">
        <v>53</v>
      </c>
      <c r="C249" s="2">
        <v>11.0</v>
      </c>
      <c r="D249" s="2" t="s">
        <v>54</v>
      </c>
      <c r="E249" s="2" t="s">
        <v>25</v>
      </c>
      <c r="F249" s="2" t="s">
        <v>26</v>
      </c>
      <c r="G249" s="2" t="s">
        <v>46</v>
      </c>
      <c r="H249" s="2" t="s">
        <v>47</v>
      </c>
      <c r="I249" s="2" t="s">
        <v>29</v>
      </c>
      <c r="J249" s="2">
        <v>5832.0</v>
      </c>
      <c r="K249" s="2">
        <v>2954.0</v>
      </c>
      <c r="L249" s="2">
        <v>1083.0</v>
      </c>
      <c r="M249" s="2">
        <v>1029.0</v>
      </c>
      <c r="N249" s="2">
        <v>1008.0</v>
      </c>
      <c r="O249" s="2">
        <v>2352.0</v>
      </c>
      <c r="P249" s="2">
        <v>1417.0</v>
      </c>
      <c r="Q249" s="2">
        <v>327.0</v>
      </c>
      <c r="R249" s="2">
        <v>51223.0</v>
      </c>
      <c r="S249" s="2">
        <v>26825.0</v>
      </c>
      <c r="T249" s="2">
        <v>24398.0</v>
      </c>
      <c r="U249" s="2">
        <v>26825.0</v>
      </c>
      <c r="V249" s="2">
        <v>0.0</v>
      </c>
      <c r="W249" s="2">
        <v>24398.0</v>
      </c>
    </row>
    <row r="250" ht="15.0" customHeight="1">
      <c r="A250" s="2">
        <v>2024.0</v>
      </c>
      <c r="B250" s="2" t="s">
        <v>53</v>
      </c>
      <c r="C250" s="2">
        <v>11.0</v>
      </c>
      <c r="D250" s="2" t="s">
        <v>54</v>
      </c>
      <c r="E250" s="2" t="s">
        <v>25</v>
      </c>
      <c r="F250" s="2" t="s">
        <v>26</v>
      </c>
      <c r="G250" s="2" t="s">
        <v>46</v>
      </c>
      <c r="H250" s="2" t="s">
        <v>47</v>
      </c>
      <c r="I250" s="2" t="s">
        <v>30</v>
      </c>
      <c r="J250" s="2">
        <v>903.0</v>
      </c>
      <c r="K250" s="2">
        <v>337.0</v>
      </c>
      <c r="L250" s="2">
        <v>116.0</v>
      </c>
      <c r="M250" s="2">
        <v>108.0</v>
      </c>
      <c r="N250" s="2">
        <v>105.0</v>
      </c>
      <c r="O250" s="2">
        <v>241.0</v>
      </c>
      <c r="P250" s="2">
        <v>146.0</v>
      </c>
      <c r="Q250" s="2">
        <v>44.0</v>
      </c>
      <c r="R250" s="2">
        <v>5395.0</v>
      </c>
      <c r="S250" s="2">
        <v>2878.0</v>
      </c>
      <c r="T250" s="2">
        <v>2516.0</v>
      </c>
      <c r="U250" s="2">
        <v>2878.0</v>
      </c>
      <c r="V250" s="2">
        <v>0.0</v>
      </c>
      <c r="W250" s="2">
        <v>2517.0</v>
      </c>
    </row>
    <row r="251" ht="15.0" customHeight="1">
      <c r="A251" s="2">
        <v>2024.0</v>
      </c>
      <c r="B251" s="2" t="s">
        <v>53</v>
      </c>
      <c r="C251" s="2">
        <v>11.0</v>
      </c>
      <c r="D251" s="2" t="s">
        <v>54</v>
      </c>
      <c r="E251" s="2" t="s">
        <v>25</v>
      </c>
      <c r="F251" s="2" t="s">
        <v>26</v>
      </c>
      <c r="G251" s="2" t="s">
        <v>46</v>
      </c>
      <c r="H251" s="2" t="s">
        <v>47</v>
      </c>
      <c r="I251" s="2" t="s">
        <v>31</v>
      </c>
      <c r="J251" s="2">
        <v>1375.0</v>
      </c>
      <c r="K251" s="2">
        <v>705.0</v>
      </c>
      <c r="L251" s="2">
        <v>179.0</v>
      </c>
      <c r="M251" s="2">
        <v>136.0</v>
      </c>
      <c r="N251" s="2">
        <v>136.0</v>
      </c>
      <c r="O251" s="2">
        <v>293.0</v>
      </c>
      <c r="P251" s="2">
        <v>192.0</v>
      </c>
      <c r="Q251" s="2">
        <v>66.0</v>
      </c>
      <c r="R251" s="2">
        <v>7837.0</v>
      </c>
      <c r="S251" s="2">
        <v>540.0</v>
      </c>
      <c r="T251" s="2">
        <v>7297.0</v>
      </c>
      <c r="U251" s="2">
        <v>540.0</v>
      </c>
      <c r="V251" s="2">
        <v>0.0</v>
      </c>
      <c r="W251" s="2">
        <v>7297.0</v>
      </c>
    </row>
    <row r="252" ht="15.0" customHeight="1">
      <c r="A252" s="2">
        <v>2024.0</v>
      </c>
      <c r="B252" s="2" t="s">
        <v>53</v>
      </c>
      <c r="C252" s="2">
        <v>11.0</v>
      </c>
      <c r="D252" s="2" t="s">
        <v>54</v>
      </c>
      <c r="E252" s="2" t="s">
        <v>25</v>
      </c>
      <c r="F252" s="2" t="s">
        <v>48</v>
      </c>
      <c r="G252" s="2" t="s">
        <v>27</v>
      </c>
      <c r="H252" s="2" t="s">
        <v>28</v>
      </c>
      <c r="I252" s="2" t="s">
        <v>29</v>
      </c>
      <c r="J252" s="2">
        <v>4906.0</v>
      </c>
      <c r="K252" s="2">
        <v>2618.0</v>
      </c>
      <c r="L252" s="2">
        <v>980.0</v>
      </c>
      <c r="M252" s="2">
        <v>951.0</v>
      </c>
      <c r="N252" s="2">
        <v>629.0</v>
      </c>
      <c r="O252" s="2">
        <v>1077.0</v>
      </c>
      <c r="P252" s="2">
        <v>946.0</v>
      </c>
      <c r="Q252" s="2">
        <v>0.0</v>
      </c>
      <c r="R252" s="2">
        <v>28074.0</v>
      </c>
      <c r="S252" s="2">
        <v>15532.0</v>
      </c>
      <c r="T252" s="2">
        <v>12543.0</v>
      </c>
      <c r="U252" s="2">
        <v>15532.0</v>
      </c>
      <c r="V252" s="2">
        <v>0.0</v>
      </c>
      <c r="W252" s="2">
        <v>12543.0</v>
      </c>
    </row>
    <row r="253" ht="15.0" customHeight="1">
      <c r="A253" s="2">
        <v>2024.0</v>
      </c>
      <c r="B253" s="2" t="s">
        <v>53</v>
      </c>
      <c r="C253" s="2">
        <v>11.0</v>
      </c>
      <c r="D253" s="2" t="s">
        <v>54</v>
      </c>
      <c r="E253" s="2" t="s">
        <v>25</v>
      </c>
      <c r="F253" s="2" t="s">
        <v>48</v>
      </c>
      <c r="G253" s="2" t="s">
        <v>27</v>
      </c>
      <c r="H253" s="2" t="s">
        <v>28</v>
      </c>
      <c r="I253" s="2" t="s">
        <v>30</v>
      </c>
      <c r="J253" s="2">
        <v>2346.0</v>
      </c>
      <c r="K253" s="2">
        <v>745.0</v>
      </c>
      <c r="L253" s="2">
        <v>223.0</v>
      </c>
      <c r="M253" s="2">
        <v>211.0</v>
      </c>
      <c r="N253" s="2">
        <v>144.0</v>
      </c>
      <c r="O253" s="2">
        <v>245.0</v>
      </c>
      <c r="P253" s="2">
        <v>205.0</v>
      </c>
      <c r="Q253" s="2">
        <v>0.0</v>
      </c>
      <c r="R253" s="2">
        <v>5954.0</v>
      </c>
      <c r="S253" s="2">
        <v>2802.0</v>
      </c>
      <c r="T253" s="2">
        <v>3152.0</v>
      </c>
      <c r="U253" s="2">
        <v>2802.0</v>
      </c>
      <c r="V253" s="2">
        <v>0.0</v>
      </c>
      <c r="W253" s="2">
        <v>3152.0</v>
      </c>
    </row>
    <row r="254" ht="15.0" customHeight="1">
      <c r="A254" s="2">
        <v>2024.0</v>
      </c>
      <c r="B254" s="2" t="s">
        <v>53</v>
      </c>
      <c r="C254" s="2">
        <v>11.0</v>
      </c>
      <c r="D254" s="2" t="s">
        <v>54</v>
      </c>
      <c r="E254" s="2" t="s">
        <v>25</v>
      </c>
      <c r="F254" s="2" t="s">
        <v>48</v>
      </c>
      <c r="G254" s="2" t="s">
        <v>27</v>
      </c>
      <c r="H254" s="2" t="s">
        <v>28</v>
      </c>
      <c r="I254" s="2" t="s">
        <v>31</v>
      </c>
      <c r="J254" s="2">
        <v>104.0</v>
      </c>
      <c r="K254" s="2">
        <v>77.0</v>
      </c>
      <c r="L254" s="2">
        <v>41.0</v>
      </c>
      <c r="M254" s="2">
        <v>39.0</v>
      </c>
      <c r="N254" s="2">
        <v>23.0</v>
      </c>
      <c r="O254" s="2">
        <v>33.0</v>
      </c>
      <c r="P254" s="2">
        <v>26.0</v>
      </c>
      <c r="Q254" s="2">
        <v>0.0</v>
      </c>
      <c r="R254" s="2">
        <v>747.0</v>
      </c>
      <c r="S254" s="2">
        <v>40.0</v>
      </c>
      <c r="T254" s="2">
        <v>708.0</v>
      </c>
      <c r="U254" s="2">
        <v>40.0</v>
      </c>
      <c r="V254" s="2">
        <v>0.0</v>
      </c>
      <c r="W254" s="2">
        <v>708.0</v>
      </c>
    </row>
    <row r="255" ht="15.0" customHeight="1">
      <c r="A255" s="2">
        <v>2024.0</v>
      </c>
      <c r="B255" s="2" t="s">
        <v>53</v>
      </c>
      <c r="C255" s="2">
        <v>11.0</v>
      </c>
      <c r="D255" s="2" t="s">
        <v>54</v>
      </c>
      <c r="E255" s="2" t="s">
        <v>25</v>
      </c>
      <c r="F255" s="2" t="s">
        <v>48</v>
      </c>
      <c r="G255" s="2" t="s">
        <v>32</v>
      </c>
      <c r="H255" s="2" t="s">
        <v>28</v>
      </c>
      <c r="I255" s="2" t="s">
        <v>29</v>
      </c>
      <c r="J255" s="2">
        <v>197.0</v>
      </c>
      <c r="K255" s="2">
        <v>95.0</v>
      </c>
      <c r="L255" s="2">
        <v>42.0</v>
      </c>
      <c r="M255" s="2">
        <v>39.0</v>
      </c>
      <c r="N255" s="2">
        <v>20.0</v>
      </c>
      <c r="O255" s="2">
        <v>27.0</v>
      </c>
      <c r="P255" s="2">
        <v>22.0</v>
      </c>
      <c r="Q255" s="2">
        <v>0.0</v>
      </c>
      <c r="R255" s="2">
        <v>324.0</v>
      </c>
      <c r="S255" s="2">
        <v>107.0</v>
      </c>
      <c r="T255" s="2">
        <v>217.0</v>
      </c>
      <c r="U255" s="2">
        <v>107.0</v>
      </c>
      <c r="V255" s="2">
        <v>0.0</v>
      </c>
      <c r="W255" s="2">
        <v>217.0</v>
      </c>
    </row>
    <row r="256" ht="15.0" customHeight="1">
      <c r="A256" s="2">
        <v>2024.0</v>
      </c>
      <c r="B256" s="2" t="s">
        <v>53</v>
      </c>
      <c r="C256" s="2">
        <v>11.0</v>
      </c>
      <c r="D256" s="2" t="s">
        <v>54</v>
      </c>
      <c r="E256" s="2" t="s">
        <v>25</v>
      </c>
      <c r="F256" s="2" t="s">
        <v>48</v>
      </c>
      <c r="G256" s="2" t="s">
        <v>32</v>
      </c>
      <c r="H256" s="2" t="s">
        <v>28</v>
      </c>
      <c r="I256" s="2" t="s">
        <v>30</v>
      </c>
      <c r="J256" s="2">
        <v>117.0</v>
      </c>
      <c r="K256" s="2">
        <v>51.0</v>
      </c>
      <c r="L256" s="2">
        <v>32.0</v>
      </c>
      <c r="M256" s="2">
        <v>32.0</v>
      </c>
      <c r="N256" s="2">
        <v>10.0</v>
      </c>
      <c r="O256" s="2">
        <v>11.0</v>
      </c>
      <c r="P256" s="2">
        <v>6.0</v>
      </c>
      <c r="Q256" s="2">
        <v>0.0</v>
      </c>
      <c r="R256" s="2">
        <v>79.0</v>
      </c>
      <c r="S256" s="2">
        <v>64.0</v>
      </c>
      <c r="T256" s="2">
        <v>16.0</v>
      </c>
      <c r="U256" s="2">
        <v>64.0</v>
      </c>
      <c r="V256" s="2">
        <v>0.0</v>
      </c>
      <c r="W256" s="2">
        <v>16.0</v>
      </c>
    </row>
    <row r="257" ht="15.0" customHeight="1">
      <c r="A257" s="2">
        <v>2024.0</v>
      </c>
      <c r="B257" s="2" t="s">
        <v>53</v>
      </c>
      <c r="C257" s="2">
        <v>11.0</v>
      </c>
      <c r="D257" s="2" t="s">
        <v>54</v>
      </c>
      <c r="E257" s="2" t="s">
        <v>25</v>
      </c>
      <c r="F257" s="2" t="s">
        <v>48</v>
      </c>
      <c r="G257" s="2" t="s">
        <v>32</v>
      </c>
      <c r="H257" s="2" t="s">
        <v>28</v>
      </c>
      <c r="I257" s="2" t="s">
        <v>31</v>
      </c>
      <c r="J257" s="2">
        <v>766.0</v>
      </c>
      <c r="K257" s="2">
        <v>365.0</v>
      </c>
      <c r="L257" s="2">
        <v>214.0</v>
      </c>
      <c r="M257" s="2">
        <v>167.0</v>
      </c>
      <c r="N257" s="2">
        <v>59.0</v>
      </c>
      <c r="O257" s="2">
        <v>77.0</v>
      </c>
      <c r="P257" s="2">
        <v>64.0</v>
      </c>
      <c r="Q257" s="2">
        <v>0.0</v>
      </c>
      <c r="R257" s="2">
        <v>848.0</v>
      </c>
      <c r="S257" s="2">
        <v>0.0</v>
      </c>
      <c r="T257" s="2">
        <v>848.0</v>
      </c>
      <c r="U257" s="2">
        <v>0.0</v>
      </c>
      <c r="V257" s="2">
        <v>0.0</v>
      </c>
      <c r="W257" s="2">
        <v>848.0</v>
      </c>
    </row>
    <row r="258" ht="15.0" customHeight="1">
      <c r="A258" s="2">
        <v>2024.0</v>
      </c>
      <c r="B258" s="2" t="s">
        <v>53</v>
      </c>
      <c r="C258" s="2">
        <v>11.0</v>
      </c>
      <c r="D258" s="2" t="s">
        <v>54</v>
      </c>
      <c r="E258" s="2" t="s">
        <v>25</v>
      </c>
      <c r="F258" s="2" t="s">
        <v>48</v>
      </c>
      <c r="G258" s="2" t="s">
        <v>33</v>
      </c>
      <c r="H258" s="2" t="s">
        <v>28</v>
      </c>
      <c r="I258" s="2" t="s">
        <v>29</v>
      </c>
      <c r="J258" s="2">
        <v>2675.0</v>
      </c>
      <c r="K258" s="2">
        <v>1665.0</v>
      </c>
      <c r="L258" s="2">
        <v>730.0</v>
      </c>
      <c r="M258" s="2">
        <v>682.0</v>
      </c>
      <c r="N258" s="2">
        <v>384.0</v>
      </c>
      <c r="O258" s="2">
        <v>442.0</v>
      </c>
      <c r="P258" s="2">
        <v>425.0</v>
      </c>
      <c r="Q258" s="2">
        <v>376.0</v>
      </c>
      <c r="R258" s="2">
        <v>11036.0</v>
      </c>
      <c r="S258" s="2">
        <v>8341.0</v>
      </c>
      <c r="T258" s="2">
        <v>2695.0</v>
      </c>
      <c r="U258" s="2">
        <v>8341.0</v>
      </c>
      <c r="V258" s="2">
        <v>0.0</v>
      </c>
      <c r="W258" s="2">
        <v>2695.0</v>
      </c>
    </row>
    <row r="259" ht="15.0" customHeight="1">
      <c r="A259" s="2">
        <v>2024.0</v>
      </c>
      <c r="B259" s="2" t="s">
        <v>53</v>
      </c>
      <c r="C259" s="2">
        <v>11.0</v>
      </c>
      <c r="D259" s="2" t="s">
        <v>54</v>
      </c>
      <c r="E259" s="2" t="s">
        <v>25</v>
      </c>
      <c r="F259" s="2" t="s">
        <v>48</v>
      </c>
      <c r="G259" s="2" t="s">
        <v>33</v>
      </c>
      <c r="H259" s="2" t="s">
        <v>28</v>
      </c>
      <c r="I259" s="2" t="s">
        <v>30</v>
      </c>
      <c r="J259" s="2">
        <v>1198.0</v>
      </c>
      <c r="K259" s="2">
        <v>458.0</v>
      </c>
      <c r="L259" s="2">
        <v>208.0</v>
      </c>
      <c r="M259" s="2">
        <v>197.0</v>
      </c>
      <c r="N259" s="2">
        <v>77.0</v>
      </c>
      <c r="O259" s="2">
        <v>86.0</v>
      </c>
      <c r="P259" s="2">
        <v>78.0</v>
      </c>
      <c r="Q259" s="2">
        <v>72.0</v>
      </c>
      <c r="R259" s="2">
        <v>1876.0</v>
      </c>
      <c r="S259" s="2">
        <v>2155.0</v>
      </c>
      <c r="T259" s="2">
        <v>-278.0</v>
      </c>
      <c r="U259" s="2">
        <v>2155.0</v>
      </c>
      <c r="V259" s="2">
        <v>0.0</v>
      </c>
      <c r="W259" s="2">
        <v>-278.0</v>
      </c>
    </row>
    <row r="260" ht="15.0" customHeight="1">
      <c r="A260" s="2">
        <v>2024.0</v>
      </c>
      <c r="B260" s="2" t="s">
        <v>53</v>
      </c>
      <c r="C260" s="2">
        <v>11.0</v>
      </c>
      <c r="D260" s="2" t="s">
        <v>54</v>
      </c>
      <c r="E260" s="2" t="s">
        <v>25</v>
      </c>
      <c r="F260" s="2" t="s">
        <v>48</v>
      </c>
      <c r="G260" s="2" t="s">
        <v>33</v>
      </c>
      <c r="H260" s="2" t="s">
        <v>28</v>
      </c>
      <c r="I260" s="2" t="s">
        <v>31</v>
      </c>
      <c r="J260" s="2">
        <v>134.0</v>
      </c>
      <c r="K260" s="2">
        <v>52.0</v>
      </c>
      <c r="L260" s="2">
        <v>32.0</v>
      </c>
      <c r="M260" s="2">
        <v>27.0</v>
      </c>
      <c r="N260" s="2">
        <v>10.0</v>
      </c>
      <c r="O260" s="2">
        <v>11.0</v>
      </c>
      <c r="P260" s="2">
        <v>10.0</v>
      </c>
      <c r="Q260" s="2">
        <v>11.0</v>
      </c>
      <c r="R260" s="2">
        <v>254.0</v>
      </c>
      <c r="S260" s="2">
        <v>0.0</v>
      </c>
      <c r="T260" s="2">
        <v>254.0</v>
      </c>
      <c r="U260" s="2">
        <v>0.0</v>
      </c>
      <c r="V260" s="2">
        <v>0.0</v>
      </c>
      <c r="W260" s="2">
        <v>254.0</v>
      </c>
    </row>
    <row r="261" ht="15.0" customHeight="1">
      <c r="A261" s="2">
        <v>2024.0</v>
      </c>
      <c r="B261" s="2" t="s">
        <v>53</v>
      </c>
      <c r="C261" s="2">
        <v>11.0</v>
      </c>
      <c r="D261" s="2" t="s">
        <v>54</v>
      </c>
      <c r="E261" s="2" t="s">
        <v>25</v>
      </c>
      <c r="F261" s="2" t="s">
        <v>48</v>
      </c>
      <c r="G261" s="2" t="s">
        <v>34</v>
      </c>
      <c r="H261" s="2" t="s">
        <v>35</v>
      </c>
      <c r="I261" s="2" t="s">
        <v>29</v>
      </c>
      <c r="J261" s="2">
        <v>34035.0</v>
      </c>
      <c r="K261" s="2">
        <v>21406.0</v>
      </c>
      <c r="L261" s="2">
        <v>8937.0</v>
      </c>
      <c r="M261" s="2">
        <v>8559.0</v>
      </c>
      <c r="N261" s="2">
        <v>4031.0</v>
      </c>
      <c r="O261" s="2">
        <v>5651.0</v>
      </c>
      <c r="P261" s="2">
        <v>4442.0</v>
      </c>
      <c r="Q261" s="2">
        <v>0.0</v>
      </c>
      <c r="R261" s="2">
        <v>70408.0</v>
      </c>
      <c r="S261" s="2">
        <v>45443.0</v>
      </c>
      <c r="T261" s="2">
        <v>24965.0</v>
      </c>
      <c r="U261" s="2">
        <v>45443.0</v>
      </c>
      <c r="V261" s="2">
        <v>0.0</v>
      </c>
      <c r="W261" s="2">
        <v>24965.0</v>
      </c>
    </row>
    <row r="262" ht="15.0" customHeight="1">
      <c r="A262" s="2">
        <v>2024.0</v>
      </c>
      <c r="B262" s="2" t="s">
        <v>53</v>
      </c>
      <c r="C262" s="2">
        <v>11.0</v>
      </c>
      <c r="D262" s="2" t="s">
        <v>54</v>
      </c>
      <c r="E262" s="2" t="s">
        <v>25</v>
      </c>
      <c r="F262" s="2" t="s">
        <v>48</v>
      </c>
      <c r="G262" s="2" t="s">
        <v>34</v>
      </c>
      <c r="H262" s="2" t="s">
        <v>35</v>
      </c>
      <c r="I262" s="2" t="s">
        <v>30</v>
      </c>
      <c r="J262" s="2">
        <v>19451.0</v>
      </c>
      <c r="K262" s="2">
        <v>9986.0</v>
      </c>
      <c r="L262" s="2">
        <v>3282.0</v>
      </c>
      <c r="M262" s="2">
        <v>3102.0</v>
      </c>
      <c r="N262" s="2">
        <v>1252.0</v>
      </c>
      <c r="O262" s="2">
        <v>1787.0</v>
      </c>
      <c r="P262" s="2">
        <v>1366.0</v>
      </c>
      <c r="Q262" s="2">
        <v>0.0</v>
      </c>
      <c r="R262" s="2">
        <v>22010.0</v>
      </c>
      <c r="S262" s="2">
        <v>15189.0</v>
      </c>
      <c r="T262" s="2">
        <v>6821.0</v>
      </c>
      <c r="U262" s="2">
        <v>15189.0</v>
      </c>
      <c r="V262" s="2">
        <v>0.0</v>
      </c>
      <c r="W262" s="2">
        <v>6821.0</v>
      </c>
    </row>
    <row r="263" ht="15.0" customHeight="1">
      <c r="A263" s="2">
        <v>2024.0</v>
      </c>
      <c r="B263" s="2" t="s">
        <v>53</v>
      </c>
      <c r="C263" s="2">
        <v>11.0</v>
      </c>
      <c r="D263" s="2" t="s">
        <v>54</v>
      </c>
      <c r="E263" s="2" t="s">
        <v>25</v>
      </c>
      <c r="F263" s="2" t="s">
        <v>48</v>
      </c>
      <c r="G263" s="2" t="s">
        <v>34</v>
      </c>
      <c r="H263" s="2" t="s">
        <v>35</v>
      </c>
      <c r="I263" s="2" t="s">
        <v>31</v>
      </c>
      <c r="J263" s="2">
        <v>1122.0</v>
      </c>
      <c r="K263" s="2">
        <v>600.0</v>
      </c>
      <c r="L263" s="2">
        <v>381.0</v>
      </c>
      <c r="M263" s="2">
        <v>320.0</v>
      </c>
      <c r="N263" s="2">
        <v>142.0</v>
      </c>
      <c r="O263" s="2">
        <v>197.0</v>
      </c>
      <c r="P263" s="2">
        <v>149.0</v>
      </c>
      <c r="Q263" s="2">
        <v>0.0</v>
      </c>
      <c r="R263" s="2">
        <v>2488.0</v>
      </c>
      <c r="S263" s="2">
        <v>5.0</v>
      </c>
      <c r="T263" s="2">
        <v>2483.0</v>
      </c>
      <c r="U263" s="2">
        <v>5.0</v>
      </c>
      <c r="V263" s="2">
        <v>0.0</v>
      </c>
      <c r="W263" s="2">
        <v>2483.0</v>
      </c>
    </row>
    <row r="264" ht="15.0" customHeight="1">
      <c r="A264" s="2">
        <v>2024.0</v>
      </c>
      <c r="B264" s="2" t="s">
        <v>53</v>
      </c>
      <c r="C264" s="2">
        <v>11.0</v>
      </c>
      <c r="D264" s="2" t="s">
        <v>54</v>
      </c>
      <c r="E264" s="2" t="s">
        <v>25</v>
      </c>
      <c r="F264" s="2" t="s">
        <v>48</v>
      </c>
      <c r="G264" s="2" t="s">
        <v>36</v>
      </c>
      <c r="H264" s="2" t="s">
        <v>35</v>
      </c>
      <c r="I264" s="2" t="s">
        <v>29</v>
      </c>
      <c r="J264" s="2">
        <v>13844.0</v>
      </c>
      <c r="K264" s="2">
        <v>8124.0</v>
      </c>
      <c r="L264" s="2">
        <v>3868.0</v>
      </c>
      <c r="M264" s="2">
        <v>3725.0</v>
      </c>
      <c r="N264" s="2">
        <v>3027.0</v>
      </c>
      <c r="O264" s="2">
        <v>5885.0</v>
      </c>
      <c r="P264" s="2">
        <v>5158.0</v>
      </c>
      <c r="Q264" s="2">
        <v>0.0</v>
      </c>
      <c r="R264" s="2">
        <v>70403.0</v>
      </c>
      <c r="S264" s="2">
        <v>44839.0</v>
      </c>
      <c r="T264" s="2">
        <v>25563.0</v>
      </c>
      <c r="U264" s="2">
        <v>44748.0</v>
      </c>
      <c r="V264" s="2">
        <v>91.0</v>
      </c>
      <c r="W264" s="2">
        <v>25654.0</v>
      </c>
    </row>
    <row r="265" ht="15.0" customHeight="1">
      <c r="A265" s="2">
        <v>2024.0</v>
      </c>
      <c r="B265" s="2" t="s">
        <v>53</v>
      </c>
      <c r="C265" s="2">
        <v>11.0</v>
      </c>
      <c r="D265" s="2" t="s">
        <v>54</v>
      </c>
      <c r="E265" s="2" t="s">
        <v>25</v>
      </c>
      <c r="F265" s="2" t="s">
        <v>48</v>
      </c>
      <c r="G265" s="2" t="s">
        <v>36</v>
      </c>
      <c r="H265" s="2" t="s">
        <v>35</v>
      </c>
      <c r="I265" s="2" t="s">
        <v>30</v>
      </c>
      <c r="J265" s="2">
        <v>3705.0</v>
      </c>
      <c r="K265" s="2">
        <v>1497.0</v>
      </c>
      <c r="L265" s="2">
        <v>729.0</v>
      </c>
      <c r="M265" s="2">
        <v>695.0</v>
      </c>
      <c r="N265" s="2">
        <v>563.0</v>
      </c>
      <c r="O265" s="2">
        <v>1144.0</v>
      </c>
      <c r="P265" s="2">
        <v>1001.0</v>
      </c>
      <c r="Q265" s="2">
        <v>0.0</v>
      </c>
      <c r="R265" s="2">
        <v>14499.0</v>
      </c>
      <c r="S265" s="2">
        <v>9175.0</v>
      </c>
      <c r="T265" s="2">
        <v>5324.0</v>
      </c>
      <c r="U265" s="2">
        <v>9175.0</v>
      </c>
      <c r="V265" s="2">
        <v>0.0</v>
      </c>
      <c r="W265" s="2">
        <v>5324.0</v>
      </c>
    </row>
    <row r="266" ht="15.0" customHeight="1">
      <c r="A266" s="2">
        <v>2024.0</v>
      </c>
      <c r="B266" s="2" t="s">
        <v>53</v>
      </c>
      <c r="C266" s="2">
        <v>11.0</v>
      </c>
      <c r="D266" s="2" t="s">
        <v>54</v>
      </c>
      <c r="E266" s="2" t="s">
        <v>25</v>
      </c>
      <c r="F266" s="2" t="s">
        <v>48</v>
      </c>
      <c r="G266" s="2" t="s">
        <v>36</v>
      </c>
      <c r="H266" s="2" t="s">
        <v>35</v>
      </c>
      <c r="I266" s="2" t="s">
        <v>31</v>
      </c>
      <c r="J266" s="2">
        <v>1037.0</v>
      </c>
      <c r="K266" s="2">
        <v>658.0</v>
      </c>
      <c r="L266" s="2">
        <v>424.0</v>
      </c>
      <c r="M266" s="2">
        <v>386.0</v>
      </c>
      <c r="N266" s="2">
        <v>281.0</v>
      </c>
      <c r="O266" s="2">
        <v>554.0</v>
      </c>
      <c r="P266" s="2">
        <v>478.0</v>
      </c>
      <c r="Q266" s="2">
        <v>0.0</v>
      </c>
      <c r="R266" s="2">
        <v>6657.0</v>
      </c>
      <c r="S266" s="2">
        <v>8.0</v>
      </c>
      <c r="T266" s="2">
        <v>6649.0</v>
      </c>
      <c r="U266" s="2">
        <v>8.0</v>
      </c>
      <c r="V266" s="2">
        <v>0.0</v>
      </c>
      <c r="W266" s="2">
        <v>6649.0</v>
      </c>
    </row>
    <row r="267" ht="15.0" customHeight="1">
      <c r="A267" s="2">
        <v>2024.0</v>
      </c>
      <c r="B267" s="2" t="s">
        <v>53</v>
      </c>
      <c r="C267" s="2">
        <v>11.0</v>
      </c>
      <c r="D267" s="2" t="s">
        <v>54</v>
      </c>
      <c r="E267" s="2" t="s">
        <v>25</v>
      </c>
      <c r="F267" s="2" t="s">
        <v>48</v>
      </c>
      <c r="G267" s="2" t="s">
        <v>37</v>
      </c>
      <c r="H267" s="2" t="s">
        <v>35</v>
      </c>
      <c r="I267" s="2" t="s">
        <v>29</v>
      </c>
      <c r="J267" s="2">
        <v>3021.0</v>
      </c>
      <c r="K267" s="2">
        <v>1442.0</v>
      </c>
      <c r="L267" s="2">
        <v>579.0</v>
      </c>
      <c r="M267" s="2">
        <v>556.0</v>
      </c>
      <c r="N267" s="2">
        <v>402.0</v>
      </c>
      <c r="O267" s="2">
        <v>979.0</v>
      </c>
      <c r="P267" s="2">
        <v>756.0</v>
      </c>
      <c r="Q267" s="2">
        <v>0.0</v>
      </c>
      <c r="R267" s="2">
        <v>19869.0</v>
      </c>
      <c r="S267" s="2">
        <v>11896.0</v>
      </c>
      <c r="T267" s="2">
        <v>7973.0</v>
      </c>
      <c r="U267" s="2">
        <v>11896.0</v>
      </c>
      <c r="V267" s="2">
        <v>0.0</v>
      </c>
      <c r="W267" s="2">
        <v>7973.0</v>
      </c>
    </row>
    <row r="268" ht="15.0" customHeight="1">
      <c r="A268" s="2">
        <v>2024.0</v>
      </c>
      <c r="B268" s="2" t="s">
        <v>53</v>
      </c>
      <c r="C268" s="2">
        <v>11.0</v>
      </c>
      <c r="D268" s="2" t="s">
        <v>54</v>
      </c>
      <c r="E268" s="2" t="s">
        <v>25</v>
      </c>
      <c r="F268" s="2" t="s">
        <v>48</v>
      </c>
      <c r="G268" s="2" t="s">
        <v>37</v>
      </c>
      <c r="H268" s="2" t="s">
        <v>35</v>
      </c>
      <c r="I268" s="2" t="s">
        <v>30</v>
      </c>
      <c r="J268" s="2">
        <v>2133.0</v>
      </c>
      <c r="K268" s="2">
        <v>595.0</v>
      </c>
      <c r="L268" s="2">
        <v>198.0</v>
      </c>
      <c r="M268" s="2">
        <v>189.0</v>
      </c>
      <c r="N268" s="2">
        <v>143.0</v>
      </c>
      <c r="O268" s="2">
        <v>340.0</v>
      </c>
      <c r="P268" s="2">
        <v>258.0</v>
      </c>
      <c r="Q268" s="2">
        <v>1.0</v>
      </c>
      <c r="R268" s="2">
        <v>6654.0</v>
      </c>
      <c r="S268" s="2">
        <v>4576.0</v>
      </c>
      <c r="T268" s="2">
        <v>2078.0</v>
      </c>
      <c r="U268" s="2">
        <v>4576.0</v>
      </c>
      <c r="V268" s="2">
        <v>0.0</v>
      </c>
      <c r="W268" s="2">
        <v>2078.0</v>
      </c>
    </row>
    <row r="269" ht="15.0" customHeight="1">
      <c r="A269" s="2">
        <v>2024.0</v>
      </c>
      <c r="B269" s="2" t="s">
        <v>53</v>
      </c>
      <c r="C269" s="2">
        <v>11.0</v>
      </c>
      <c r="D269" s="2" t="s">
        <v>54</v>
      </c>
      <c r="E269" s="2" t="s">
        <v>25</v>
      </c>
      <c r="F269" s="2" t="s">
        <v>48</v>
      </c>
      <c r="G269" s="2" t="s">
        <v>37</v>
      </c>
      <c r="H269" s="2" t="s">
        <v>35</v>
      </c>
      <c r="I269" s="2" t="s">
        <v>31</v>
      </c>
      <c r="J269" s="2">
        <v>66.0</v>
      </c>
      <c r="K269" s="2">
        <v>55.0</v>
      </c>
      <c r="L269" s="2">
        <v>27.0</v>
      </c>
      <c r="M269" s="2">
        <v>24.0</v>
      </c>
      <c r="N269" s="2">
        <v>19.0</v>
      </c>
      <c r="O269" s="2">
        <v>40.0</v>
      </c>
      <c r="P269" s="2">
        <v>32.0</v>
      </c>
      <c r="Q269" s="2">
        <v>0.0</v>
      </c>
      <c r="R269" s="2">
        <v>832.0</v>
      </c>
      <c r="S269" s="2">
        <v>0.0</v>
      </c>
      <c r="T269" s="2">
        <v>832.0</v>
      </c>
      <c r="U269" s="2">
        <v>0.0</v>
      </c>
      <c r="V269" s="2">
        <v>0.0</v>
      </c>
      <c r="W269" s="2">
        <v>832.0</v>
      </c>
    </row>
    <row r="270" ht="15.0" customHeight="1">
      <c r="A270" s="2">
        <v>2024.0</v>
      </c>
      <c r="B270" s="2" t="s">
        <v>53</v>
      </c>
      <c r="C270" s="2">
        <v>11.0</v>
      </c>
      <c r="D270" s="2" t="s">
        <v>54</v>
      </c>
      <c r="E270" s="2" t="s">
        <v>25</v>
      </c>
      <c r="F270" s="2" t="s">
        <v>48</v>
      </c>
      <c r="G270" s="2" t="s">
        <v>38</v>
      </c>
      <c r="H270" s="2" t="s">
        <v>35</v>
      </c>
      <c r="I270" s="2" t="s">
        <v>29</v>
      </c>
      <c r="J270" s="2">
        <v>2825.0</v>
      </c>
      <c r="K270" s="2">
        <v>1499.0</v>
      </c>
      <c r="L270" s="2">
        <v>752.0</v>
      </c>
      <c r="M270" s="2">
        <v>722.0</v>
      </c>
      <c r="N270" s="2">
        <v>434.0</v>
      </c>
      <c r="O270" s="2">
        <v>658.0</v>
      </c>
      <c r="P270" s="2">
        <v>509.0</v>
      </c>
      <c r="Q270" s="2">
        <v>112.0</v>
      </c>
      <c r="R270" s="2">
        <v>9178.0</v>
      </c>
      <c r="S270" s="2">
        <v>5136.0</v>
      </c>
      <c r="T270" s="2">
        <v>4042.0</v>
      </c>
      <c r="U270" s="2">
        <v>5119.0</v>
      </c>
      <c r="V270" s="2">
        <v>17.0</v>
      </c>
      <c r="W270" s="2">
        <v>4060.0</v>
      </c>
    </row>
    <row r="271" ht="15.0" customHeight="1">
      <c r="A271" s="2">
        <v>2024.0</v>
      </c>
      <c r="B271" s="2" t="s">
        <v>53</v>
      </c>
      <c r="C271" s="2">
        <v>11.0</v>
      </c>
      <c r="D271" s="2" t="s">
        <v>54</v>
      </c>
      <c r="E271" s="2" t="s">
        <v>25</v>
      </c>
      <c r="F271" s="2" t="s">
        <v>48</v>
      </c>
      <c r="G271" s="2" t="s">
        <v>38</v>
      </c>
      <c r="H271" s="2" t="s">
        <v>35</v>
      </c>
      <c r="I271" s="2" t="s">
        <v>30</v>
      </c>
      <c r="J271" s="2">
        <v>6116.0</v>
      </c>
      <c r="K271" s="2">
        <v>2254.0</v>
      </c>
      <c r="L271" s="2">
        <v>1511.0</v>
      </c>
      <c r="M271" s="2">
        <v>1453.0</v>
      </c>
      <c r="N271" s="2">
        <v>842.0</v>
      </c>
      <c r="O271" s="2">
        <v>1245.0</v>
      </c>
      <c r="P271" s="2">
        <v>950.0</v>
      </c>
      <c r="Q271" s="2">
        <v>268.0</v>
      </c>
      <c r="R271" s="2">
        <v>16938.0</v>
      </c>
      <c r="S271" s="2">
        <v>12596.0</v>
      </c>
      <c r="T271" s="2">
        <v>4342.0</v>
      </c>
      <c r="U271" s="2">
        <v>12596.0</v>
      </c>
      <c r="V271" s="2">
        <v>0.0</v>
      </c>
      <c r="W271" s="2">
        <v>4342.0</v>
      </c>
    </row>
    <row r="272" ht="15.0" customHeight="1">
      <c r="A272" s="2">
        <v>2024.0</v>
      </c>
      <c r="B272" s="2" t="s">
        <v>53</v>
      </c>
      <c r="C272" s="2">
        <v>11.0</v>
      </c>
      <c r="D272" s="2" t="s">
        <v>54</v>
      </c>
      <c r="E272" s="2" t="s">
        <v>25</v>
      </c>
      <c r="F272" s="2" t="s">
        <v>48</v>
      </c>
      <c r="G272" s="2" t="s">
        <v>38</v>
      </c>
      <c r="H272" s="2" t="s">
        <v>35</v>
      </c>
      <c r="I272" s="2" t="s">
        <v>31</v>
      </c>
      <c r="J272" s="2">
        <v>888.0</v>
      </c>
      <c r="K272" s="2">
        <v>397.0</v>
      </c>
      <c r="L272" s="2">
        <v>292.0</v>
      </c>
      <c r="M272" s="2">
        <v>266.0</v>
      </c>
      <c r="N272" s="2">
        <v>154.0</v>
      </c>
      <c r="O272" s="2">
        <v>229.0</v>
      </c>
      <c r="P272" s="2">
        <v>174.0</v>
      </c>
      <c r="Q272" s="2">
        <v>42.0</v>
      </c>
      <c r="R272" s="2">
        <v>3215.0</v>
      </c>
      <c r="S272" s="2">
        <v>9.0</v>
      </c>
      <c r="T272" s="2">
        <v>3206.0</v>
      </c>
      <c r="U272" s="2">
        <v>9.0</v>
      </c>
      <c r="V272" s="2">
        <v>0.0</v>
      </c>
      <c r="W272" s="2">
        <v>3206.0</v>
      </c>
    </row>
    <row r="273" ht="15.0" customHeight="1">
      <c r="A273" s="2">
        <v>2024.0</v>
      </c>
      <c r="B273" s="2" t="s">
        <v>53</v>
      </c>
      <c r="C273" s="2">
        <v>11.0</v>
      </c>
      <c r="D273" s="2" t="s">
        <v>54</v>
      </c>
      <c r="E273" s="2" t="s">
        <v>25</v>
      </c>
      <c r="F273" s="2" t="s">
        <v>48</v>
      </c>
      <c r="G273" s="2" t="s">
        <v>39</v>
      </c>
      <c r="H273" s="2" t="s">
        <v>40</v>
      </c>
      <c r="I273" s="2" t="s">
        <v>29</v>
      </c>
      <c r="J273" s="2">
        <v>27038.0</v>
      </c>
      <c r="K273" s="2">
        <v>16873.0</v>
      </c>
      <c r="L273" s="2">
        <v>7714.0</v>
      </c>
      <c r="M273" s="2">
        <v>7343.0</v>
      </c>
      <c r="N273" s="2">
        <v>6776.0</v>
      </c>
      <c r="O273" s="2">
        <v>12873.0</v>
      </c>
      <c r="P273" s="2">
        <v>7656.0</v>
      </c>
      <c r="Q273" s="2">
        <v>10028.0</v>
      </c>
      <c r="R273" s="2">
        <v>80960.0</v>
      </c>
      <c r="S273" s="2">
        <v>55951.0</v>
      </c>
      <c r="T273" s="2">
        <v>25008.0</v>
      </c>
      <c r="U273" s="2">
        <v>55951.0</v>
      </c>
      <c r="V273" s="2">
        <v>0.0</v>
      </c>
      <c r="W273" s="2">
        <v>25008.0</v>
      </c>
    </row>
    <row r="274" ht="15.0" customHeight="1">
      <c r="A274" s="2">
        <v>2024.0</v>
      </c>
      <c r="B274" s="2" t="s">
        <v>53</v>
      </c>
      <c r="C274" s="2">
        <v>11.0</v>
      </c>
      <c r="D274" s="2" t="s">
        <v>54</v>
      </c>
      <c r="E274" s="2" t="s">
        <v>25</v>
      </c>
      <c r="F274" s="2" t="s">
        <v>48</v>
      </c>
      <c r="G274" s="2" t="s">
        <v>39</v>
      </c>
      <c r="H274" s="2" t="s">
        <v>40</v>
      </c>
      <c r="I274" s="2" t="s">
        <v>30</v>
      </c>
      <c r="J274" s="2">
        <v>6010.0</v>
      </c>
      <c r="K274" s="2">
        <v>2790.0</v>
      </c>
      <c r="L274" s="2">
        <v>1109.0</v>
      </c>
      <c r="M274" s="2">
        <v>1045.0</v>
      </c>
      <c r="N274" s="2">
        <v>962.0</v>
      </c>
      <c r="O274" s="2">
        <v>1713.0</v>
      </c>
      <c r="P274" s="2">
        <v>1026.0</v>
      </c>
      <c r="Q274" s="2">
        <v>1287.0</v>
      </c>
      <c r="R274" s="2">
        <v>10911.0</v>
      </c>
      <c r="S274" s="2">
        <v>9754.0</v>
      </c>
      <c r="T274" s="2">
        <v>1158.0</v>
      </c>
      <c r="U274" s="2">
        <v>9754.0</v>
      </c>
      <c r="V274" s="2">
        <v>0.0</v>
      </c>
      <c r="W274" s="2">
        <v>1158.0</v>
      </c>
    </row>
    <row r="275" ht="15.0" customHeight="1">
      <c r="A275" s="2">
        <v>2024.0</v>
      </c>
      <c r="B275" s="2" t="s">
        <v>53</v>
      </c>
      <c r="C275" s="2">
        <v>11.0</v>
      </c>
      <c r="D275" s="2" t="s">
        <v>54</v>
      </c>
      <c r="E275" s="2" t="s">
        <v>25</v>
      </c>
      <c r="F275" s="2" t="s">
        <v>48</v>
      </c>
      <c r="G275" s="2" t="s">
        <v>39</v>
      </c>
      <c r="H275" s="2" t="s">
        <v>40</v>
      </c>
      <c r="I275" s="2" t="s">
        <v>31</v>
      </c>
      <c r="J275" s="2">
        <v>3045.0</v>
      </c>
      <c r="K275" s="2">
        <v>1786.0</v>
      </c>
      <c r="L275" s="2">
        <v>986.0</v>
      </c>
      <c r="M275" s="2">
        <v>863.0</v>
      </c>
      <c r="N275" s="2">
        <v>804.0</v>
      </c>
      <c r="O275" s="2">
        <v>1581.0</v>
      </c>
      <c r="P275" s="2">
        <v>931.0</v>
      </c>
      <c r="Q275" s="2">
        <v>1189.0</v>
      </c>
      <c r="R275" s="2">
        <v>10394.0</v>
      </c>
      <c r="S275" s="2">
        <v>31.0</v>
      </c>
      <c r="T275" s="2">
        <v>10363.0</v>
      </c>
      <c r="U275" s="2">
        <v>31.0</v>
      </c>
      <c r="V275" s="2">
        <v>0.0</v>
      </c>
      <c r="W275" s="2">
        <v>10363.0</v>
      </c>
    </row>
    <row r="276" ht="15.0" customHeight="1">
      <c r="A276" s="2">
        <v>2024.0</v>
      </c>
      <c r="B276" s="2" t="s">
        <v>53</v>
      </c>
      <c r="C276" s="2">
        <v>11.0</v>
      </c>
      <c r="D276" s="2" t="s">
        <v>54</v>
      </c>
      <c r="E276" s="2" t="s">
        <v>25</v>
      </c>
      <c r="F276" s="2" t="s">
        <v>48</v>
      </c>
      <c r="G276" s="2" t="s">
        <v>41</v>
      </c>
      <c r="H276" s="2" t="s">
        <v>42</v>
      </c>
      <c r="I276" s="2" t="s">
        <v>29</v>
      </c>
      <c r="J276" s="2">
        <v>27618.0</v>
      </c>
      <c r="K276" s="2">
        <v>15437.0</v>
      </c>
      <c r="L276" s="2">
        <v>3727.0</v>
      </c>
      <c r="M276" s="2">
        <v>3453.0</v>
      </c>
      <c r="N276" s="2">
        <v>1453.0</v>
      </c>
      <c r="O276" s="2">
        <v>1950.0</v>
      </c>
      <c r="P276" s="2">
        <v>1495.0</v>
      </c>
      <c r="Q276" s="2">
        <v>0.0</v>
      </c>
      <c r="R276" s="2">
        <v>14349.0</v>
      </c>
      <c r="S276" s="2">
        <v>9807.0</v>
      </c>
      <c r="T276" s="2">
        <v>4542.0</v>
      </c>
      <c r="U276" s="2">
        <v>9242.0</v>
      </c>
      <c r="V276" s="2">
        <v>565.0</v>
      </c>
      <c r="W276" s="2">
        <v>5107.0</v>
      </c>
    </row>
    <row r="277" ht="15.0" customHeight="1">
      <c r="A277" s="2">
        <v>2024.0</v>
      </c>
      <c r="B277" s="2" t="s">
        <v>53</v>
      </c>
      <c r="C277" s="2">
        <v>11.0</v>
      </c>
      <c r="D277" s="2" t="s">
        <v>54</v>
      </c>
      <c r="E277" s="2" t="s">
        <v>25</v>
      </c>
      <c r="F277" s="2" t="s">
        <v>48</v>
      </c>
      <c r="G277" s="2" t="s">
        <v>41</v>
      </c>
      <c r="H277" s="2" t="s">
        <v>42</v>
      </c>
      <c r="I277" s="2" t="s">
        <v>30</v>
      </c>
      <c r="J277" s="2">
        <v>5729.0</v>
      </c>
      <c r="K277" s="2">
        <v>3189.0</v>
      </c>
      <c r="L277" s="2">
        <v>1783.0</v>
      </c>
      <c r="M277" s="2">
        <v>1671.0</v>
      </c>
      <c r="N277" s="2">
        <v>784.0</v>
      </c>
      <c r="O277" s="2">
        <v>1102.0</v>
      </c>
      <c r="P277" s="2">
        <v>860.0</v>
      </c>
      <c r="Q277" s="2">
        <v>0.0</v>
      </c>
      <c r="R277" s="2">
        <v>8098.0</v>
      </c>
      <c r="S277" s="2">
        <v>6680.0</v>
      </c>
      <c r="T277" s="2">
        <v>1419.0</v>
      </c>
      <c r="U277" s="2">
        <v>6680.0</v>
      </c>
      <c r="V277" s="2">
        <v>0.0</v>
      </c>
      <c r="W277" s="2">
        <v>1419.0</v>
      </c>
    </row>
    <row r="278" ht="15.0" customHeight="1">
      <c r="A278" s="2">
        <v>2024.0</v>
      </c>
      <c r="B278" s="2" t="s">
        <v>53</v>
      </c>
      <c r="C278" s="2">
        <v>11.0</v>
      </c>
      <c r="D278" s="2" t="s">
        <v>54</v>
      </c>
      <c r="E278" s="2" t="s">
        <v>25</v>
      </c>
      <c r="F278" s="2" t="s">
        <v>48</v>
      </c>
      <c r="G278" s="2" t="s">
        <v>41</v>
      </c>
      <c r="H278" s="2" t="s">
        <v>42</v>
      </c>
      <c r="I278" s="2" t="s">
        <v>31</v>
      </c>
      <c r="J278" s="2">
        <v>10890.0</v>
      </c>
      <c r="K278" s="2">
        <v>7921.0</v>
      </c>
      <c r="L278" s="2">
        <v>7027.0</v>
      </c>
      <c r="M278" s="2">
        <v>6199.0</v>
      </c>
      <c r="N278" s="2">
        <v>1788.0</v>
      </c>
      <c r="O278" s="2">
        <v>2247.0</v>
      </c>
      <c r="P278" s="2">
        <v>1730.0</v>
      </c>
      <c r="Q278" s="2">
        <v>0.0</v>
      </c>
      <c r="R278" s="2">
        <v>18189.0</v>
      </c>
      <c r="S278" s="2">
        <v>162.0</v>
      </c>
      <c r="T278" s="2">
        <v>18026.0</v>
      </c>
      <c r="U278" s="2">
        <v>162.0</v>
      </c>
      <c r="V278" s="2">
        <v>0.0</v>
      </c>
      <c r="W278" s="2">
        <v>18026.0</v>
      </c>
    </row>
    <row r="279" ht="15.0" customHeight="1">
      <c r="A279" s="2">
        <v>2024.0</v>
      </c>
      <c r="B279" s="2" t="s">
        <v>53</v>
      </c>
      <c r="C279" s="2">
        <v>11.0</v>
      </c>
      <c r="D279" s="2" t="s">
        <v>54</v>
      </c>
      <c r="E279" s="2" t="s">
        <v>25</v>
      </c>
      <c r="F279" s="2" t="s">
        <v>48</v>
      </c>
      <c r="G279" s="2" t="s">
        <v>43</v>
      </c>
      <c r="H279" s="2" t="s">
        <v>42</v>
      </c>
      <c r="I279" s="2" t="s">
        <v>29</v>
      </c>
      <c r="J279" s="2">
        <v>18224.0</v>
      </c>
      <c r="K279" s="2">
        <v>8930.0</v>
      </c>
      <c r="L279" s="2">
        <v>3046.0</v>
      </c>
      <c r="M279" s="2">
        <v>2839.0</v>
      </c>
      <c r="N279" s="2">
        <v>1601.0</v>
      </c>
      <c r="O279" s="2">
        <v>3387.0</v>
      </c>
      <c r="P279" s="2">
        <v>2888.0</v>
      </c>
      <c r="Q279" s="2">
        <v>0.0</v>
      </c>
      <c r="R279" s="2">
        <v>89733.0</v>
      </c>
      <c r="S279" s="2">
        <v>60664.0</v>
      </c>
      <c r="T279" s="2">
        <v>29069.0</v>
      </c>
      <c r="U279" s="2">
        <v>58496.0</v>
      </c>
      <c r="V279" s="2">
        <v>2168.0</v>
      </c>
      <c r="W279" s="2">
        <v>31237.0</v>
      </c>
    </row>
    <row r="280" ht="15.0" customHeight="1">
      <c r="A280" s="2">
        <v>2024.0</v>
      </c>
      <c r="B280" s="2" t="s">
        <v>53</v>
      </c>
      <c r="C280" s="2">
        <v>11.0</v>
      </c>
      <c r="D280" s="2" t="s">
        <v>54</v>
      </c>
      <c r="E280" s="2" t="s">
        <v>25</v>
      </c>
      <c r="F280" s="2" t="s">
        <v>48</v>
      </c>
      <c r="G280" s="2" t="s">
        <v>43</v>
      </c>
      <c r="H280" s="2" t="s">
        <v>42</v>
      </c>
      <c r="I280" s="2" t="s">
        <v>30</v>
      </c>
      <c r="J280" s="2">
        <v>5700.0</v>
      </c>
      <c r="K280" s="2">
        <v>1925.0</v>
      </c>
      <c r="L280" s="2">
        <v>540.0</v>
      </c>
      <c r="M280" s="2">
        <v>506.0</v>
      </c>
      <c r="N280" s="2">
        <v>317.0</v>
      </c>
      <c r="O280" s="2">
        <v>847.0</v>
      </c>
      <c r="P280" s="2">
        <v>744.0</v>
      </c>
      <c r="Q280" s="2">
        <v>0.0</v>
      </c>
      <c r="R280" s="2">
        <v>25816.0</v>
      </c>
      <c r="S280" s="2">
        <v>18463.0</v>
      </c>
      <c r="T280" s="2">
        <v>7352.0</v>
      </c>
      <c r="U280" s="2">
        <v>18463.0</v>
      </c>
      <c r="V280" s="2">
        <v>0.0</v>
      </c>
      <c r="W280" s="2">
        <v>7352.0</v>
      </c>
    </row>
    <row r="281" ht="15.0" customHeight="1">
      <c r="A281" s="2">
        <v>2024.0</v>
      </c>
      <c r="B281" s="2" t="s">
        <v>53</v>
      </c>
      <c r="C281" s="2">
        <v>11.0</v>
      </c>
      <c r="D281" s="2" t="s">
        <v>54</v>
      </c>
      <c r="E281" s="2" t="s">
        <v>25</v>
      </c>
      <c r="F281" s="2" t="s">
        <v>48</v>
      </c>
      <c r="G281" s="2" t="s">
        <v>43</v>
      </c>
      <c r="H281" s="2" t="s">
        <v>42</v>
      </c>
      <c r="I281" s="2" t="s">
        <v>31</v>
      </c>
      <c r="J281" s="2">
        <v>683.0</v>
      </c>
      <c r="K281" s="2">
        <v>444.0</v>
      </c>
      <c r="L281" s="2">
        <v>270.0</v>
      </c>
      <c r="M281" s="2">
        <v>219.0</v>
      </c>
      <c r="N281" s="2">
        <v>142.0</v>
      </c>
      <c r="O281" s="2">
        <v>349.0</v>
      </c>
      <c r="P281" s="2">
        <v>300.0</v>
      </c>
      <c r="Q281" s="2">
        <v>0.0</v>
      </c>
      <c r="R281" s="2">
        <v>9635.0</v>
      </c>
      <c r="S281" s="2">
        <v>24.0</v>
      </c>
      <c r="T281" s="2">
        <v>9612.0</v>
      </c>
      <c r="U281" s="2">
        <v>24.0</v>
      </c>
      <c r="V281" s="2">
        <v>0.0</v>
      </c>
      <c r="W281" s="2">
        <v>9612.0</v>
      </c>
    </row>
    <row r="282" ht="15.0" customHeight="1">
      <c r="A282" s="2">
        <v>2024.0</v>
      </c>
      <c r="B282" s="2" t="s">
        <v>53</v>
      </c>
      <c r="C282" s="2">
        <v>11.0</v>
      </c>
      <c r="D282" s="2" t="s">
        <v>54</v>
      </c>
      <c r="E282" s="2" t="s">
        <v>25</v>
      </c>
      <c r="F282" s="2" t="s">
        <v>48</v>
      </c>
      <c r="G282" s="2" t="s">
        <v>44</v>
      </c>
      <c r="H282" s="2" t="s">
        <v>45</v>
      </c>
      <c r="I282" s="2" t="s">
        <v>29</v>
      </c>
      <c r="J282" s="2">
        <v>4015.0</v>
      </c>
      <c r="K282" s="2">
        <v>2102.0</v>
      </c>
      <c r="L282" s="2">
        <v>657.0</v>
      </c>
      <c r="M282" s="2">
        <v>635.0</v>
      </c>
      <c r="N282" s="2">
        <v>528.0</v>
      </c>
      <c r="O282" s="2">
        <v>1036.0</v>
      </c>
      <c r="P282" s="2">
        <v>876.0</v>
      </c>
      <c r="Q282" s="2">
        <v>410.0</v>
      </c>
      <c r="R282" s="2">
        <v>23047.0</v>
      </c>
      <c r="S282" s="2">
        <v>16836.0</v>
      </c>
      <c r="T282" s="2">
        <v>6210.0</v>
      </c>
      <c r="U282" s="2">
        <v>16836.0</v>
      </c>
      <c r="V282" s="2">
        <v>0.0</v>
      </c>
      <c r="W282" s="2">
        <v>6210.0</v>
      </c>
    </row>
    <row r="283" ht="15.0" customHeight="1">
      <c r="A283" s="2">
        <v>2024.0</v>
      </c>
      <c r="B283" s="2" t="s">
        <v>53</v>
      </c>
      <c r="C283" s="2">
        <v>11.0</v>
      </c>
      <c r="D283" s="2" t="s">
        <v>54</v>
      </c>
      <c r="E283" s="2" t="s">
        <v>25</v>
      </c>
      <c r="F283" s="2" t="s">
        <v>48</v>
      </c>
      <c r="G283" s="2" t="s">
        <v>44</v>
      </c>
      <c r="H283" s="2" t="s">
        <v>45</v>
      </c>
      <c r="I283" s="2" t="s">
        <v>30</v>
      </c>
      <c r="J283" s="2">
        <v>5281.0</v>
      </c>
      <c r="K283" s="2">
        <v>2533.0</v>
      </c>
      <c r="L283" s="2">
        <v>680.0</v>
      </c>
      <c r="M283" s="2">
        <v>648.0</v>
      </c>
      <c r="N283" s="2">
        <v>450.0</v>
      </c>
      <c r="O283" s="2">
        <v>736.0</v>
      </c>
      <c r="P283" s="2">
        <v>618.0</v>
      </c>
      <c r="Q283" s="2">
        <v>231.0</v>
      </c>
      <c r="R283" s="2">
        <v>15685.0</v>
      </c>
      <c r="S283" s="2">
        <v>13967.0</v>
      </c>
      <c r="T283" s="2">
        <v>1718.0</v>
      </c>
      <c r="U283" s="2">
        <v>13967.0</v>
      </c>
      <c r="V283" s="2">
        <v>0.0</v>
      </c>
      <c r="W283" s="2">
        <v>1718.0</v>
      </c>
    </row>
    <row r="284" ht="15.0" customHeight="1">
      <c r="A284" s="2">
        <v>2024.0</v>
      </c>
      <c r="B284" s="2" t="s">
        <v>53</v>
      </c>
      <c r="C284" s="2">
        <v>11.0</v>
      </c>
      <c r="D284" s="2" t="s">
        <v>54</v>
      </c>
      <c r="E284" s="2" t="s">
        <v>25</v>
      </c>
      <c r="F284" s="2" t="s">
        <v>48</v>
      </c>
      <c r="G284" s="2" t="s">
        <v>44</v>
      </c>
      <c r="H284" s="2" t="s">
        <v>45</v>
      </c>
      <c r="I284" s="2" t="s">
        <v>31</v>
      </c>
      <c r="J284" s="2">
        <v>342.0</v>
      </c>
      <c r="K284" s="2">
        <v>195.0</v>
      </c>
      <c r="L284" s="2">
        <v>96.0</v>
      </c>
      <c r="M284" s="2">
        <v>70.0</v>
      </c>
      <c r="N284" s="2">
        <v>58.0</v>
      </c>
      <c r="O284" s="2">
        <v>114.0</v>
      </c>
      <c r="P284" s="2">
        <v>101.0</v>
      </c>
      <c r="Q284" s="2">
        <v>32.0</v>
      </c>
      <c r="R284" s="2">
        <v>2862.0</v>
      </c>
      <c r="S284" s="2">
        <v>0.0</v>
      </c>
      <c r="T284" s="2">
        <v>2862.0</v>
      </c>
      <c r="U284" s="2">
        <v>0.0</v>
      </c>
      <c r="V284" s="2">
        <v>0.0</v>
      </c>
      <c r="W284" s="2">
        <v>2862.0</v>
      </c>
    </row>
    <row r="285" ht="15.0" customHeight="1">
      <c r="A285" s="2">
        <v>2024.0</v>
      </c>
      <c r="B285" s="2" t="s">
        <v>53</v>
      </c>
      <c r="C285" s="2">
        <v>11.0</v>
      </c>
      <c r="D285" s="2" t="s">
        <v>54</v>
      </c>
      <c r="E285" s="2" t="s">
        <v>25</v>
      </c>
      <c r="F285" s="2" t="s">
        <v>48</v>
      </c>
      <c r="G285" s="2" t="s">
        <v>46</v>
      </c>
      <c r="H285" s="2" t="s">
        <v>47</v>
      </c>
      <c r="I285" s="2" t="s">
        <v>29</v>
      </c>
      <c r="J285" s="2">
        <v>16134.0</v>
      </c>
      <c r="K285" s="2">
        <v>7505.0</v>
      </c>
      <c r="L285" s="2">
        <v>2645.0</v>
      </c>
      <c r="M285" s="2">
        <v>2512.0</v>
      </c>
      <c r="N285" s="2">
        <v>2511.0</v>
      </c>
      <c r="O285" s="2">
        <v>5991.0</v>
      </c>
      <c r="P285" s="2">
        <v>5110.0</v>
      </c>
      <c r="Q285" s="2">
        <v>2992.0</v>
      </c>
      <c r="R285" s="2">
        <v>146774.0</v>
      </c>
      <c r="S285" s="2">
        <v>104368.0</v>
      </c>
      <c r="T285" s="2">
        <v>42406.0</v>
      </c>
      <c r="U285" s="2">
        <v>104368.0</v>
      </c>
      <c r="V285" s="2">
        <v>0.0</v>
      </c>
      <c r="W285" s="2">
        <v>42406.0</v>
      </c>
    </row>
    <row r="286" ht="15.0" customHeight="1">
      <c r="A286" s="2">
        <v>2024.0</v>
      </c>
      <c r="B286" s="2" t="s">
        <v>53</v>
      </c>
      <c r="C286" s="2">
        <v>11.0</v>
      </c>
      <c r="D286" s="2" t="s">
        <v>54</v>
      </c>
      <c r="E286" s="2" t="s">
        <v>25</v>
      </c>
      <c r="F286" s="2" t="s">
        <v>48</v>
      </c>
      <c r="G286" s="2" t="s">
        <v>46</v>
      </c>
      <c r="H286" s="2" t="s">
        <v>47</v>
      </c>
      <c r="I286" s="2" t="s">
        <v>30</v>
      </c>
      <c r="J286" s="2">
        <v>7056.0</v>
      </c>
      <c r="K286" s="2">
        <v>2324.0</v>
      </c>
      <c r="L286" s="2">
        <v>1084.0</v>
      </c>
      <c r="M286" s="2">
        <v>1034.0</v>
      </c>
      <c r="N286" s="2">
        <v>1032.0</v>
      </c>
      <c r="O286" s="2">
        <v>2236.0</v>
      </c>
      <c r="P286" s="2">
        <v>1923.0</v>
      </c>
      <c r="Q286" s="2">
        <v>1141.0</v>
      </c>
      <c r="R286" s="2">
        <v>50102.0</v>
      </c>
      <c r="S286" s="2">
        <v>37965.0</v>
      </c>
      <c r="T286" s="2">
        <v>12137.0</v>
      </c>
      <c r="U286" s="2">
        <v>37965.0</v>
      </c>
      <c r="V286" s="2">
        <v>0.0</v>
      </c>
      <c r="W286" s="2">
        <v>12137.0</v>
      </c>
    </row>
    <row r="287" ht="15.0" customHeight="1">
      <c r="A287" s="2">
        <v>2024.0</v>
      </c>
      <c r="B287" s="2" t="s">
        <v>53</v>
      </c>
      <c r="C287" s="2">
        <v>11.0</v>
      </c>
      <c r="D287" s="2" t="s">
        <v>54</v>
      </c>
      <c r="E287" s="2" t="s">
        <v>25</v>
      </c>
      <c r="F287" s="2" t="s">
        <v>48</v>
      </c>
      <c r="G287" s="2" t="s">
        <v>46</v>
      </c>
      <c r="H287" s="2" t="s">
        <v>47</v>
      </c>
      <c r="I287" s="2" t="s">
        <v>31</v>
      </c>
      <c r="J287" s="2">
        <v>1209.0</v>
      </c>
      <c r="K287" s="2">
        <v>568.0</v>
      </c>
      <c r="L287" s="2">
        <v>319.0</v>
      </c>
      <c r="M287" s="2">
        <v>234.0</v>
      </c>
      <c r="N287" s="2">
        <v>234.0</v>
      </c>
      <c r="O287" s="2">
        <v>502.0</v>
      </c>
      <c r="P287" s="2">
        <v>428.0</v>
      </c>
      <c r="Q287" s="2">
        <v>267.0</v>
      </c>
      <c r="R287" s="2">
        <v>12386.0</v>
      </c>
      <c r="S287" s="2">
        <v>277.0</v>
      </c>
      <c r="T287" s="2">
        <v>12110.0</v>
      </c>
      <c r="U287" s="2">
        <v>277.0</v>
      </c>
      <c r="V287" s="2">
        <v>0.0</v>
      </c>
      <c r="W287" s="2">
        <v>12110.0</v>
      </c>
    </row>
    <row r="288" ht="15.0" customHeight="1">
      <c r="A288" s="2">
        <v>2024.0</v>
      </c>
      <c r="B288" s="2" t="s">
        <v>55</v>
      </c>
      <c r="C288" s="2">
        <v>10.0</v>
      </c>
      <c r="D288" s="2" t="s">
        <v>56</v>
      </c>
      <c r="E288" s="2" t="s">
        <v>25</v>
      </c>
      <c r="F288" s="2" t="s">
        <v>26</v>
      </c>
      <c r="G288" s="2" t="s">
        <v>27</v>
      </c>
      <c r="H288" s="2" t="s">
        <v>28</v>
      </c>
      <c r="I288" s="2" t="s">
        <v>29</v>
      </c>
      <c r="J288" s="2">
        <v>7185.0</v>
      </c>
      <c r="K288" s="2">
        <v>3916.0</v>
      </c>
      <c r="L288" s="2">
        <v>1147.0</v>
      </c>
      <c r="M288" s="2">
        <v>1111.0</v>
      </c>
      <c r="N288" s="2">
        <v>926.0</v>
      </c>
      <c r="O288" s="2">
        <v>2028.0</v>
      </c>
      <c r="P288" s="2">
        <v>1790.0</v>
      </c>
      <c r="Q288" s="2">
        <v>241.0</v>
      </c>
      <c r="R288" s="2">
        <v>34306.0</v>
      </c>
      <c r="S288" s="2">
        <v>21583.0</v>
      </c>
      <c r="T288" s="2">
        <v>12724.0</v>
      </c>
      <c r="U288" s="2">
        <v>20694.0</v>
      </c>
      <c r="V288" s="2">
        <v>889.0</v>
      </c>
      <c r="W288" s="2">
        <v>13613.0</v>
      </c>
    </row>
    <row r="289" ht="15.0" customHeight="1">
      <c r="A289" s="2">
        <v>2024.0</v>
      </c>
      <c r="B289" s="2" t="s">
        <v>55</v>
      </c>
      <c r="C289" s="2">
        <v>10.0</v>
      </c>
      <c r="D289" s="2" t="s">
        <v>56</v>
      </c>
      <c r="E289" s="2" t="s">
        <v>25</v>
      </c>
      <c r="F289" s="2" t="s">
        <v>26</v>
      </c>
      <c r="G289" s="2" t="s">
        <v>27</v>
      </c>
      <c r="H289" s="2" t="s">
        <v>28</v>
      </c>
      <c r="I289" s="2" t="s">
        <v>30</v>
      </c>
      <c r="J289" s="2">
        <v>1893.0</v>
      </c>
      <c r="K289" s="2">
        <v>714.0</v>
      </c>
      <c r="L289" s="2">
        <v>177.0</v>
      </c>
      <c r="M289" s="2">
        <v>173.0</v>
      </c>
      <c r="N289" s="2">
        <v>140.0</v>
      </c>
      <c r="O289" s="2">
        <v>304.0</v>
      </c>
      <c r="P289" s="2">
        <v>275.0</v>
      </c>
      <c r="Q289" s="2">
        <v>41.0</v>
      </c>
      <c r="R289" s="2">
        <v>5258.0</v>
      </c>
      <c r="S289" s="2">
        <v>2526.0</v>
      </c>
      <c r="T289" s="2">
        <v>2732.0</v>
      </c>
      <c r="U289" s="2">
        <v>2510.0</v>
      </c>
      <c r="V289" s="2">
        <v>16.0</v>
      </c>
      <c r="W289" s="2">
        <v>2748.0</v>
      </c>
    </row>
    <row r="290" ht="15.0" customHeight="1">
      <c r="A290" s="2">
        <v>2024.0</v>
      </c>
      <c r="B290" s="2" t="s">
        <v>55</v>
      </c>
      <c r="C290" s="2">
        <v>10.0</v>
      </c>
      <c r="D290" s="2" t="s">
        <v>56</v>
      </c>
      <c r="E290" s="2" t="s">
        <v>25</v>
      </c>
      <c r="F290" s="2" t="s">
        <v>26</v>
      </c>
      <c r="G290" s="2" t="s">
        <v>27</v>
      </c>
      <c r="H290" s="2" t="s">
        <v>28</v>
      </c>
      <c r="I290" s="2" t="s">
        <v>31</v>
      </c>
      <c r="J290" s="2">
        <v>479.0</v>
      </c>
      <c r="K290" s="2">
        <v>267.0</v>
      </c>
      <c r="L290" s="2">
        <v>169.0</v>
      </c>
      <c r="M290" s="2">
        <v>155.0</v>
      </c>
      <c r="N290" s="2">
        <v>114.0</v>
      </c>
      <c r="O290" s="2">
        <v>241.0</v>
      </c>
      <c r="P290" s="2">
        <v>213.0</v>
      </c>
      <c r="Q290" s="2">
        <v>30.0</v>
      </c>
      <c r="R290" s="2">
        <v>4196.0</v>
      </c>
      <c r="S290" s="2">
        <v>588.0</v>
      </c>
      <c r="T290" s="2">
        <v>3608.0</v>
      </c>
      <c r="U290" s="2">
        <v>588.0</v>
      </c>
      <c r="V290" s="2">
        <v>0.0</v>
      </c>
      <c r="W290" s="2">
        <v>3608.0</v>
      </c>
    </row>
    <row r="291" ht="15.0" customHeight="1">
      <c r="A291" s="2">
        <v>2024.0</v>
      </c>
      <c r="B291" s="2" t="s">
        <v>55</v>
      </c>
      <c r="C291" s="2">
        <v>10.0</v>
      </c>
      <c r="D291" s="2" t="s">
        <v>56</v>
      </c>
      <c r="E291" s="2" t="s">
        <v>25</v>
      </c>
      <c r="F291" s="2" t="s">
        <v>26</v>
      </c>
      <c r="G291" s="2" t="s">
        <v>32</v>
      </c>
      <c r="H291" s="2" t="s">
        <v>28</v>
      </c>
      <c r="I291" s="2" t="s">
        <v>29</v>
      </c>
      <c r="J291" s="2">
        <v>13037.0</v>
      </c>
      <c r="K291" s="2">
        <v>7373.0</v>
      </c>
      <c r="L291" s="2">
        <v>3343.0</v>
      </c>
      <c r="M291" s="2">
        <v>3198.0</v>
      </c>
      <c r="N291" s="2">
        <v>2739.0</v>
      </c>
      <c r="O291" s="2">
        <v>3836.0</v>
      </c>
      <c r="P291" s="2">
        <v>3211.0</v>
      </c>
      <c r="Q291" s="2">
        <v>0.0</v>
      </c>
      <c r="R291" s="2">
        <v>24918.0</v>
      </c>
      <c r="S291" s="2">
        <v>14985.0</v>
      </c>
      <c r="T291" s="2">
        <v>9934.0</v>
      </c>
      <c r="U291" s="2">
        <v>14611.0</v>
      </c>
      <c r="V291" s="2">
        <v>374.0</v>
      </c>
      <c r="W291" s="2">
        <v>10308.0</v>
      </c>
    </row>
    <row r="292" ht="15.0" customHeight="1">
      <c r="A292" s="2">
        <v>2024.0</v>
      </c>
      <c r="B292" s="2" t="s">
        <v>55</v>
      </c>
      <c r="C292" s="2">
        <v>10.0</v>
      </c>
      <c r="D292" s="2" t="s">
        <v>56</v>
      </c>
      <c r="E292" s="2" t="s">
        <v>25</v>
      </c>
      <c r="F292" s="2" t="s">
        <v>26</v>
      </c>
      <c r="G292" s="2" t="s">
        <v>32</v>
      </c>
      <c r="H292" s="2" t="s">
        <v>28</v>
      </c>
      <c r="I292" s="2" t="s">
        <v>30</v>
      </c>
      <c r="J292" s="2">
        <v>1131.0</v>
      </c>
      <c r="K292" s="2">
        <v>450.0</v>
      </c>
      <c r="L292" s="2">
        <v>184.0</v>
      </c>
      <c r="M292" s="2">
        <v>172.0</v>
      </c>
      <c r="N292" s="2">
        <v>141.0</v>
      </c>
      <c r="O292" s="2">
        <v>197.0</v>
      </c>
      <c r="P292" s="2">
        <v>163.0</v>
      </c>
      <c r="Q292" s="2">
        <v>0.0</v>
      </c>
      <c r="R292" s="2">
        <v>1198.0</v>
      </c>
      <c r="S292" s="2">
        <v>320.0</v>
      </c>
      <c r="T292" s="2">
        <v>877.0</v>
      </c>
      <c r="U292" s="2">
        <v>296.0</v>
      </c>
      <c r="V292" s="2">
        <v>24.0</v>
      </c>
      <c r="W292" s="2">
        <v>901.0</v>
      </c>
    </row>
    <row r="293" ht="15.0" customHeight="1">
      <c r="A293" s="2">
        <v>2024.0</v>
      </c>
      <c r="B293" s="2" t="s">
        <v>55</v>
      </c>
      <c r="C293" s="2">
        <v>10.0</v>
      </c>
      <c r="D293" s="2" t="s">
        <v>56</v>
      </c>
      <c r="E293" s="2" t="s">
        <v>25</v>
      </c>
      <c r="F293" s="2" t="s">
        <v>26</v>
      </c>
      <c r="G293" s="2" t="s">
        <v>32</v>
      </c>
      <c r="H293" s="2" t="s">
        <v>28</v>
      </c>
      <c r="I293" s="2" t="s">
        <v>31</v>
      </c>
      <c r="J293" s="2">
        <v>5081.0</v>
      </c>
      <c r="K293" s="2">
        <v>2743.0</v>
      </c>
      <c r="L293" s="2">
        <v>1701.0</v>
      </c>
      <c r="M293" s="2">
        <v>1599.0</v>
      </c>
      <c r="N293" s="2">
        <v>1282.0</v>
      </c>
      <c r="O293" s="2">
        <v>1789.0</v>
      </c>
      <c r="P293" s="2">
        <v>1477.0</v>
      </c>
      <c r="Q293" s="2">
        <v>0.0</v>
      </c>
      <c r="R293" s="2">
        <v>10966.0</v>
      </c>
      <c r="S293" s="2">
        <v>657.0</v>
      </c>
      <c r="T293" s="2">
        <v>10310.0</v>
      </c>
      <c r="U293" s="2">
        <v>657.0</v>
      </c>
      <c r="V293" s="2">
        <v>0.0</v>
      </c>
      <c r="W293" s="2">
        <v>10310.0</v>
      </c>
    </row>
    <row r="294" ht="15.0" customHeight="1">
      <c r="A294" s="2">
        <v>2024.0</v>
      </c>
      <c r="B294" s="2" t="s">
        <v>55</v>
      </c>
      <c r="C294" s="2">
        <v>10.0</v>
      </c>
      <c r="D294" s="2" t="s">
        <v>56</v>
      </c>
      <c r="E294" s="2" t="s">
        <v>25</v>
      </c>
      <c r="F294" s="2" t="s">
        <v>26</v>
      </c>
      <c r="G294" s="2" t="s">
        <v>33</v>
      </c>
      <c r="H294" s="2" t="s">
        <v>28</v>
      </c>
      <c r="I294" s="2" t="s">
        <v>29</v>
      </c>
      <c r="J294" s="2">
        <v>11730.0</v>
      </c>
      <c r="K294" s="2">
        <v>6821.0</v>
      </c>
      <c r="L294" s="2">
        <v>3147.0</v>
      </c>
      <c r="M294" s="2">
        <v>3033.0</v>
      </c>
      <c r="N294" s="2">
        <v>1919.0</v>
      </c>
      <c r="O294" s="2">
        <v>2514.0</v>
      </c>
      <c r="P294" s="2">
        <v>2189.0</v>
      </c>
      <c r="Q294" s="2">
        <v>737.0</v>
      </c>
      <c r="R294" s="2">
        <v>22064.0</v>
      </c>
      <c r="S294" s="2">
        <v>14986.0</v>
      </c>
      <c r="T294" s="2">
        <v>7078.0</v>
      </c>
      <c r="U294" s="2">
        <v>14888.0</v>
      </c>
      <c r="V294" s="2">
        <v>98.0</v>
      </c>
      <c r="W294" s="2">
        <v>7176.0</v>
      </c>
    </row>
    <row r="295" ht="15.0" customHeight="1">
      <c r="A295" s="2">
        <v>2024.0</v>
      </c>
      <c r="B295" s="2" t="s">
        <v>55</v>
      </c>
      <c r="C295" s="2">
        <v>10.0</v>
      </c>
      <c r="D295" s="2" t="s">
        <v>56</v>
      </c>
      <c r="E295" s="2" t="s">
        <v>25</v>
      </c>
      <c r="F295" s="2" t="s">
        <v>26</v>
      </c>
      <c r="G295" s="2" t="s">
        <v>33</v>
      </c>
      <c r="H295" s="2" t="s">
        <v>28</v>
      </c>
      <c r="I295" s="2" t="s">
        <v>30</v>
      </c>
      <c r="J295" s="2">
        <v>2485.0</v>
      </c>
      <c r="K295" s="2">
        <v>1425.0</v>
      </c>
      <c r="L295" s="2">
        <v>604.0</v>
      </c>
      <c r="M295" s="2">
        <v>573.0</v>
      </c>
      <c r="N295" s="2">
        <v>339.0</v>
      </c>
      <c r="O295" s="2">
        <v>420.0</v>
      </c>
      <c r="P295" s="2">
        <v>377.0</v>
      </c>
      <c r="Q295" s="2">
        <v>55.0</v>
      </c>
      <c r="R295" s="2">
        <v>3460.0</v>
      </c>
      <c r="S295" s="2">
        <v>1324.0</v>
      </c>
      <c r="T295" s="2">
        <v>2137.0</v>
      </c>
      <c r="U295" s="2">
        <v>1324.0</v>
      </c>
      <c r="V295" s="2">
        <v>0.0</v>
      </c>
      <c r="W295" s="2">
        <v>2137.0</v>
      </c>
    </row>
    <row r="296" ht="15.0" customHeight="1">
      <c r="A296" s="2">
        <v>2024.0</v>
      </c>
      <c r="B296" s="2" t="s">
        <v>55</v>
      </c>
      <c r="C296" s="2">
        <v>10.0</v>
      </c>
      <c r="D296" s="2" t="s">
        <v>56</v>
      </c>
      <c r="E296" s="2" t="s">
        <v>25</v>
      </c>
      <c r="F296" s="2" t="s">
        <v>26</v>
      </c>
      <c r="G296" s="2" t="s">
        <v>33</v>
      </c>
      <c r="H296" s="2" t="s">
        <v>28</v>
      </c>
      <c r="I296" s="2" t="s">
        <v>31</v>
      </c>
      <c r="J296" s="2">
        <v>485.0</v>
      </c>
      <c r="K296" s="2">
        <v>218.0</v>
      </c>
      <c r="L296" s="2">
        <v>174.0</v>
      </c>
      <c r="M296" s="2">
        <v>152.0</v>
      </c>
      <c r="N296" s="2">
        <v>92.0</v>
      </c>
      <c r="O296" s="2">
        <v>122.0</v>
      </c>
      <c r="P296" s="2">
        <v>108.0</v>
      </c>
      <c r="Q296" s="2">
        <v>22.0</v>
      </c>
      <c r="R296" s="2">
        <v>1154.0</v>
      </c>
      <c r="S296" s="2">
        <v>80.0</v>
      </c>
      <c r="T296" s="2">
        <v>1074.0</v>
      </c>
      <c r="U296" s="2">
        <v>80.0</v>
      </c>
      <c r="V296" s="2">
        <v>0.0</v>
      </c>
      <c r="W296" s="2">
        <v>1074.0</v>
      </c>
    </row>
    <row r="297" ht="15.0" customHeight="1">
      <c r="A297" s="2">
        <v>2024.0</v>
      </c>
      <c r="B297" s="2" t="s">
        <v>55</v>
      </c>
      <c r="C297" s="2">
        <v>10.0</v>
      </c>
      <c r="D297" s="2" t="s">
        <v>56</v>
      </c>
      <c r="E297" s="2" t="s">
        <v>25</v>
      </c>
      <c r="F297" s="2" t="s">
        <v>26</v>
      </c>
      <c r="G297" s="2" t="s">
        <v>34</v>
      </c>
      <c r="H297" s="2" t="s">
        <v>35</v>
      </c>
      <c r="I297" s="2" t="s">
        <v>29</v>
      </c>
      <c r="J297" s="2">
        <v>10376.0</v>
      </c>
      <c r="K297" s="2">
        <v>6714.0</v>
      </c>
      <c r="L297" s="2">
        <v>3274.0</v>
      </c>
      <c r="M297" s="2">
        <v>3115.0</v>
      </c>
      <c r="N297" s="2">
        <v>1224.0</v>
      </c>
      <c r="O297" s="2">
        <v>1624.0</v>
      </c>
      <c r="P297" s="2">
        <v>1194.0</v>
      </c>
      <c r="Q297" s="2">
        <v>66.0</v>
      </c>
      <c r="R297" s="2">
        <v>16101.0</v>
      </c>
      <c r="S297" s="2">
        <v>9919.0</v>
      </c>
      <c r="T297" s="2">
        <v>6182.0</v>
      </c>
      <c r="U297" s="2">
        <v>9281.0</v>
      </c>
      <c r="V297" s="2">
        <v>638.0</v>
      </c>
      <c r="W297" s="2">
        <v>6819.0</v>
      </c>
    </row>
    <row r="298" ht="15.0" customHeight="1">
      <c r="A298" s="2">
        <v>2024.0</v>
      </c>
      <c r="B298" s="2" t="s">
        <v>55</v>
      </c>
      <c r="C298" s="2">
        <v>10.0</v>
      </c>
      <c r="D298" s="2" t="s">
        <v>56</v>
      </c>
      <c r="E298" s="2" t="s">
        <v>25</v>
      </c>
      <c r="F298" s="2" t="s">
        <v>26</v>
      </c>
      <c r="G298" s="2" t="s">
        <v>34</v>
      </c>
      <c r="H298" s="2" t="s">
        <v>35</v>
      </c>
      <c r="I298" s="2" t="s">
        <v>30</v>
      </c>
      <c r="J298" s="2">
        <v>2252.0</v>
      </c>
      <c r="K298" s="2">
        <v>1271.0</v>
      </c>
      <c r="L298" s="2">
        <v>565.0</v>
      </c>
      <c r="M298" s="2">
        <v>541.0</v>
      </c>
      <c r="N298" s="2">
        <v>244.0</v>
      </c>
      <c r="O298" s="2">
        <v>324.0</v>
      </c>
      <c r="P298" s="2">
        <v>241.0</v>
      </c>
      <c r="Q298" s="2">
        <v>9.0</v>
      </c>
      <c r="R298" s="2">
        <v>3265.0</v>
      </c>
      <c r="S298" s="2">
        <v>861.0</v>
      </c>
      <c r="T298" s="2">
        <v>2404.0</v>
      </c>
      <c r="U298" s="2">
        <v>861.0</v>
      </c>
      <c r="V298" s="2">
        <v>0.0</v>
      </c>
      <c r="W298" s="2">
        <v>2404.0</v>
      </c>
    </row>
    <row r="299" ht="15.0" customHeight="1">
      <c r="A299" s="2">
        <v>2024.0</v>
      </c>
      <c r="B299" s="2" t="s">
        <v>55</v>
      </c>
      <c r="C299" s="2">
        <v>10.0</v>
      </c>
      <c r="D299" s="2" t="s">
        <v>56</v>
      </c>
      <c r="E299" s="2" t="s">
        <v>25</v>
      </c>
      <c r="F299" s="2" t="s">
        <v>26</v>
      </c>
      <c r="G299" s="2" t="s">
        <v>34</v>
      </c>
      <c r="H299" s="2" t="s">
        <v>35</v>
      </c>
      <c r="I299" s="2" t="s">
        <v>31</v>
      </c>
      <c r="J299" s="2">
        <v>1047.0</v>
      </c>
      <c r="K299" s="2">
        <v>646.0</v>
      </c>
      <c r="L299" s="2">
        <v>372.0</v>
      </c>
      <c r="M299" s="2">
        <v>331.0</v>
      </c>
      <c r="N299" s="2">
        <v>127.0</v>
      </c>
      <c r="O299" s="2">
        <v>152.0</v>
      </c>
      <c r="P299" s="2">
        <v>112.0</v>
      </c>
      <c r="Q299" s="2">
        <v>8.0</v>
      </c>
      <c r="R299" s="2">
        <v>1482.0</v>
      </c>
      <c r="S299" s="2">
        <v>5.0</v>
      </c>
      <c r="T299" s="2">
        <v>1477.0</v>
      </c>
      <c r="U299" s="2">
        <v>5.0</v>
      </c>
      <c r="V299" s="2">
        <v>0.0</v>
      </c>
      <c r="W299" s="2">
        <v>1477.0</v>
      </c>
    </row>
    <row r="300" ht="15.0" customHeight="1">
      <c r="A300" s="2">
        <v>2024.0</v>
      </c>
      <c r="B300" s="2" t="s">
        <v>55</v>
      </c>
      <c r="C300" s="2">
        <v>10.0</v>
      </c>
      <c r="D300" s="2" t="s">
        <v>56</v>
      </c>
      <c r="E300" s="2" t="s">
        <v>25</v>
      </c>
      <c r="F300" s="2" t="s">
        <v>26</v>
      </c>
      <c r="G300" s="2" t="s">
        <v>36</v>
      </c>
      <c r="H300" s="2" t="s">
        <v>35</v>
      </c>
      <c r="I300" s="2" t="s">
        <v>29</v>
      </c>
      <c r="J300" s="2">
        <v>6043.0</v>
      </c>
      <c r="K300" s="2">
        <v>4211.0</v>
      </c>
      <c r="L300" s="2">
        <v>2462.0</v>
      </c>
      <c r="M300" s="2">
        <v>2386.0</v>
      </c>
      <c r="N300" s="2">
        <v>1154.0</v>
      </c>
      <c r="O300" s="2">
        <v>1613.0</v>
      </c>
      <c r="P300" s="2">
        <v>1242.0</v>
      </c>
      <c r="Q300" s="2">
        <v>112.0</v>
      </c>
      <c r="R300" s="2">
        <v>13643.0</v>
      </c>
      <c r="S300" s="2">
        <v>6665.0</v>
      </c>
      <c r="T300" s="2">
        <v>6978.0</v>
      </c>
      <c r="U300" s="2">
        <v>6665.0</v>
      </c>
      <c r="V300" s="2">
        <v>0.0</v>
      </c>
      <c r="W300" s="2">
        <v>6978.0</v>
      </c>
    </row>
    <row r="301" ht="15.0" customHeight="1">
      <c r="A301" s="2">
        <v>2024.0</v>
      </c>
      <c r="B301" s="2" t="s">
        <v>55</v>
      </c>
      <c r="C301" s="2">
        <v>10.0</v>
      </c>
      <c r="D301" s="2" t="s">
        <v>56</v>
      </c>
      <c r="E301" s="2" t="s">
        <v>25</v>
      </c>
      <c r="F301" s="2" t="s">
        <v>26</v>
      </c>
      <c r="G301" s="2" t="s">
        <v>36</v>
      </c>
      <c r="H301" s="2" t="s">
        <v>35</v>
      </c>
      <c r="I301" s="2" t="s">
        <v>30</v>
      </c>
      <c r="J301" s="2">
        <v>569.0</v>
      </c>
      <c r="K301" s="2">
        <v>329.0</v>
      </c>
      <c r="L301" s="2">
        <v>192.0</v>
      </c>
      <c r="M301" s="2">
        <v>185.0</v>
      </c>
      <c r="N301" s="2">
        <v>99.0</v>
      </c>
      <c r="O301" s="2">
        <v>139.0</v>
      </c>
      <c r="P301" s="2">
        <v>113.0</v>
      </c>
      <c r="Q301" s="2">
        <v>10.0</v>
      </c>
      <c r="R301" s="2">
        <v>1271.0</v>
      </c>
      <c r="S301" s="2">
        <v>257.0</v>
      </c>
      <c r="T301" s="2">
        <v>1014.0</v>
      </c>
      <c r="U301" s="2">
        <v>257.0</v>
      </c>
      <c r="V301" s="2">
        <v>0.0</v>
      </c>
      <c r="W301" s="2">
        <v>1014.0</v>
      </c>
    </row>
    <row r="302" ht="15.0" customHeight="1">
      <c r="A302" s="2">
        <v>2024.0</v>
      </c>
      <c r="B302" s="2" t="s">
        <v>55</v>
      </c>
      <c r="C302" s="2">
        <v>10.0</v>
      </c>
      <c r="D302" s="2" t="s">
        <v>56</v>
      </c>
      <c r="E302" s="2" t="s">
        <v>25</v>
      </c>
      <c r="F302" s="2" t="s">
        <v>26</v>
      </c>
      <c r="G302" s="2" t="s">
        <v>36</v>
      </c>
      <c r="H302" s="2" t="s">
        <v>35</v>
      </c>
      <c r="I302" s="2" t="s">
        <v>31</v>
      </c>
      <c r="J302" s="2">
        <v>670.0</v>
      </c>
      <c r="K302" s="2">
        <v>450.0</v>
      </c>
      <c r="L302" s="2">
        <v>271.0</v>
      </c>
      <c r="M302" s="2">
        <v>240.0</v>
      </c>
      <c r="N302" s="2">
        <v>134.0</v>
      </c>
      <c r="O302" s="2">
        <v>195.0</v>
      </c>
      <c r="P302" s="2">
        <v>164.0</v>
      </c>
      <c r="Q302" s="2">
        <v>13.0</v>
      </c>
      <c r="R302" s="2">
        <v>1849.0</v>
      </c>
      <c r="S302" s="2">
        <v>0.0</v>
      </c>
      <c r="T302" s="2">
        <v>1849.0</v>
      </c>
      <c r="U302" s="2">
        <v>0.0</v>
      </c>
      <c r="V302" s="2">
        <v>0.0</v>
      </c>
      <c r="W302" s="2">
        <v>1849.0</v>
      </c>
    </row>
    <row r="303" ht="15.0" customHeight="1">
      <c r="A303" s="2">
        <v>2024.0</v>
      </c>
      <c r="B303" s="2" t="s">
        <v>55</v>
      </c>
      <c r="C303" s="2">
        <v>10.0</v>
      </c>
      <c r="D303" s="2" t="s">
        <v>56</v>
      </c>
      <c r="E303" s="2" t="s">
        <v>25</v>
      </c>
      <c r="F303" s="2" t="s">
        <v>26</v>
      </c>
      <c r="G303" s="2" t="s">
        <v>37</v>
      </c>
      <c r="H303" s="2" t="s">
        <v>35</v>
      </c>
      <c r="I303" s="2" t="s">
        <v>29</v>
      </c>
      <c r="J303" s="2">
        <v>1359.0</v>
      </c>
      <c r="K303" s="2">
        <v>691.0</v>
      </c>
      <c r="L303" s="2">
        <v>260.0</v>
      </c>
      <c r="M303" s="2">
        <v>242.0</v>
      </c>
      <c r="N303" s="2">
        <v>203.0</v>
      </c>
      <c r="O303" s="2">
        <v>606.0</v>
      </c>
      <c r="P303" s="2">
        <v>514.0</v>
      </c>
      <c r="Q303" s="2">
        <v>0.0</v>
      </c>
      <c r="R303" s="2">
        <v>12070.0</v>
      </c>
      <c r="S303" s="2">
        <v>5893.0</v>
      </c>
      <c r="T303" s="2">
        <v>6177.0</v>
      </c>
      <c r="U303" s="2">
        <v>5893.0</v>
      </c>
      <c r="V303" s="2">
        <v>0.0</v>
      </c>
      <c r="W303" s="2">
        <v>6177.0</v>
      </c>
    </row>
    <row r="304" ht="15.0" customHeight="1">
      <c r="A304" s="2">
        <v>2024.0</v>
      </c>
      <c r="B304" s="2" t="s">
        <v>55</v>
      </c>
      <c r="C304" s="2">
        <v>10.0</v>
      </c>
      <c r="D304" s="2" t="s">
        <v>56</v>
      </c>
      <c r="E304" s="2" t="s">
        <v>25</v>
      </c>
      <c r="F304" s="2" t="s">
        <v>26</v>
      </c>
      <c r="G304" s="2" t="s">
        <v>37</v>
      </c>
      <c r="H304" s="2" t="s">
        <v>35</v>
      </c>
      <c r="I304" s="2" t="s">
        <v>30</v>
      </c>
      <c r="J304" s="2">
        <v>1.0</v>
      </c>
      <c r="K304" s="2">
        <v>1.0</v>
      </c>
      <c r="L304" s="2">
        <v>1.0</v>
      </c>
      <c r="M304" s="2">
        <v>0.0</v>
      </c>
      <c r="N304" s="2">
        <v>0.0</v>
      </c>
      <c r="O304" s="2">
        <v>0.0</v>
      </c>
      <c r="P304" s="2">
        <v>0.0</v>
      </c>
      <c r="Q304" s="2">
        <v>0.0</v>
      </c>
      <c r="R304" s="2">
        <v>0.0</v>
      </c>
      <c r="S304" s="2">
        <v>0.0</v>
      </c>
      <c r="T304" s="2">
        <v>0.0</v>
      </c>
      <c r="U304" s="2">
        <v>0.0</v>
      </c>
      <c r="V304" s="2">
        <v>0.0</v>
      </c>
      <c r="W304" s="2">
        <v>0.0</v>
      </c>
    </row>
    <row r="305" ht="15.0" customHeight="1">
      <c r="A305" s="2">
        <v>2024.0</v>
      </c>
      <c r="B305" s="2" t="s">
        <v>55</v>
      </c>
      <c r="C305" s="2">
        <v>10.0</v>
      </c>
      <c r="D305" s="2" t="s">
        <v>56</v>
      </c>
      <c r="E305" s="2" t="s">
        <v>25</v>
      </c>
      <c r="F305" s="2" t="s">
        <v>26</v>
      </c>
      <c r="G305" s="2" t="s">
        <v>37</v>
      </c>
      <c r="H305" s="2" t="s">
        <v>35</v>
      </c>
      <c r="I305" s="2" t="s">
        <v>31</v>
      </c>
      <c r="J305" s="2">
        <v>43.0</v>
      </c>
      <c r="K305" s="2">
        <v>26.0</v>
      </c>
      <c r="L305" s="2">
        <v>16.0</v>
      </c>
      <c r="M305" s="2">
        <v>14.0</v>
      </c>
      <c r="N305" s="2">
        <v>11.0</v>
      </c>
      <c r="O305" s="2">
        <v>37.0</v>
      </c>
      <c r="P305" s="2">
        <v>28.0</v>
      </c>
      <c r="Q305" s="2">
        <v>0.0</v>
      </c>
      <c r="R305" s="2">
        <v>713.0</v>
      </c>
      <c r="S305" s="2">
        <v>0.0</v>
      </c>
      <c r="T305" s="2">
        <v>713.0</v>
      </c>
      <c r="U305" s="2">
        <v>0.0</v>
      </c>
      <c r="V305" s="2">
        <v>0.0</v>
      </c>
      <c r="W305" s="2">
        <v>713.0</v>
      </c>
    </row>
    <row r="306" ht="15.0" customHeight="1">
      <c r="A306" s="2">
        <v>2024.0</v>
      </c>
      <c r="B306" s="2" t="s">
        <v>55</v>
      </c>
      <c r="C306" s="2">
        <v>10.0</v>
      </c>
      <c r="D306" s="2" t="s">
        <v>56</v>
      </c>
      <c r="E306" s="2" t="s">
        <v>25</v>
      </c>
      <c r="F306" s="2" t="s">
        <v>26</v>
      </c>
      <c r="G306" s="2" t="s">
        <v>38</v>
      </c>
      <c r="H306" s="2" t="s">
        <v>35</v>
      </c>
      <c r="I306" s="2" t="s">
        <v>29</v>
      </c>
      <c r="J306" s="2">
        <v>3236.0</v>
      </c>
      <c r="K306" s="2">
        <v>1696.0</v>
      </c>
      <c r="L306" s="2">
        <v>924.0</v>
      </c>
      <c r="M306" s="2">
        <v>887.0</v>
      </c>
      <c r="N306" s="2">
        <v>629.0</v>
      </c>
      <c r="O306" s="2">
        <v>1047.0</v>
      </c>
      <c r="P306" s="2">
        <v>845.0</v>
      </c>
      <c r="Q306" s="2">
        <v>69.0</v>
      </c>
      <c r="R306" s="2">
        <v>11433.0</v>
      </c>
      <c r="S306" s="2">
        <v>5336.0</v>
      </c>
      <c r="T306" s="2">
        <v>6097.0</v>
      </c>
      <c r="U306" s="2">
        <v>5220.0</v>
      </c>
      <c r="V306" s="2">
        <v>115.0</v>
      </c>
      <c r="W306" s="2">
        <v>6212.0</v>
      </c>
    </row>
    <row r="307" ht="15.0" customHeight="1">
      <c r="A307" s="2">
        <v>2024.0</v>
      </c>
      <c r="B307" s="2" t="s">
        <v>55</v>
      </c>
      <c r="C307" s="2">
        <v>10.0</v>
      </c>
      <c r="D307" s="2" t="s">
        <v>56</v>
      </c>
      <c r="E307" s="2" t="s">
        <v>25</v>
      </c>
      <c r="F307" s="2" t="s">
        <v>26</v>
      </c>
      <c r="G307" s="2" t="s">
        <v>38</v>
      </c>
      <c r="H307" s="2" t="s">
        <v>35</v>
      </c>
      <c r="I307" s="2" t="s">
        <v>30</v>
      </c>
      <c r="J307" s="2">
        <v>3979.0</v>
      </c>
      <c r="K307" s="2">
        <v>1570.0</v>
      </c>
      <c r="L307" s="2">
        <v>935.0</v>
      </c>
      <c r="M307" s="2">
        <v>910.0</v>
      </c>
      <c r="N307" s="2">
        <v>606.0</v>
      </c>
      <c r="O307" s="2">
        <v>936.0</v>
      </c>
      <c r="P307" s="2">
        <v>722.0</v>
      </c>
      <c r="Q307" s="2">
        <v>59.0</v>
      </c>
      <c r="R307" s="2">
        <v>9503.0</v>
      </c>
      <c r="S307" s="2">
        <v>9407.0</v>
      </c>
      <c r="T307" s="2">
        <v>95.0</v>
      </c>
      <c r="U307" s="2">
        <v>9406.0</v>
      </c>
      <c r="V307" s="2">
        <v>1.0</v>
      </c>
      <c r="W307" s="2">
        <v>96.0</v>
      </c>
    </row>
    <row r="308" ht="15.0" customHeight="1">
      <c r="A308" s="2">
        <v>2024.0</v>
      </c>
      <c r="B308" s="2" t="s">
        <v>55</v>
      </c>
      <c r="C308" s="2">
        <v>10.0</v>
      </c>
      <c r="D308" s="2" t="s">
        <v>56</v>
      </c>
      <c r="E308" s="2" t="s">
        <v>25</v>
      </c>
      <c r="F308" s="2" t="s">
        <v>26</v>
      </c>
      <c r="G308" s="2" t="s">
        <v>38</v>
      </c>
      <c r="H308" s="2" t="s">
        <v>35</v>
      </c>
      <c r="I308" s="2" t="s">
        <v>31</v>
      </c>
      <c r="J308" s="2">
        <v>687.0</v>
      </c>
      <c r="K308" s="2">
        <v>345.0</v>
      </c>
      <c r="L308" s="2">
        <v>202.0</v>
      </c>
      <c r="M308" s="2">
        <v>186.0</v>
      </c>
      <c r="N308" s="2">
        <v>136.0</v>
      </c>
      <c r="O308" s="2">
        <v>235.0</v>
      </c>
      <c r="P308" s="2">
        <v>185.0</v>
      </c>
      <c r="Q308" s="2">
        <v>12.0</v>
      </c>
      <c r="R308" s="2">
        <v>2591.0</v>
      </c>
      <c r="S308" s="2">
        <v>20.0</v>
      </c>
      <c r="T308" s="2">
        <v>2571.0</v>
      </c>
      <c r="U308" s="2">
        <v>20.0</v>
      </c>
      <c r="V308" s="2">
        <v>0.0</v>
      </c>
      <c r="W308" s="2">
        <v>2571.0</v>
      </c>
    </row>
    <row r="309" ht="15.0" customHeight="1">
      <c r="A309" s="2">
        <v>2024.0</v>
      </c>
      <c r="B309" s="2" t="s">
        <v>55</v>
      </c>
      <c r="C309" s="2">
        <v>10.0</v>
      </c>
      <c r="D309" s="2" t="s">
        <v>56</v>
      </c>
      <c r="E309" s="2" t="s">
        <v>25</v>
      </c>
      <c r="F309" s="2" t="s">
        <v>26</v>
      </c>
      <c r="G309" s="2" t="s">
        <v>39</v>
      </c>
      <c r="H309" s="2" t="s">
        <v>40</v>
      </c>
      <c r="I309" s="2" t="s">
        <v>29</v>
      </c>
      <c r="J309" s="2">
        <v>10419.0</v>
      </c>
      <c r="K309" s="2">
        <v>6670.0</v>
      </c>
      <c r="L309" s="2">
        <v>3587.0</v>
      </c>
      <c r="M309" s="2">
        <v>3418.0</v>
      </c>
      <c r="N309" s="2">
        <v>1395.0</v>
      </c>
      <c r="O309" s="2">
        <v>1846.0</v>
      </c>
      <c r="P309" s="2">
        <v>1335.0</v>
      </c>
      <c r="Q309" s="2">
        <v>0.0</v>
      </c>
      <c r="R309" s="2">
        <v>18248.0</v>
      </c>
      <c r="S309" s="2">
        <v>9688.0</v>
      </c>
      <c r="T309" s="2">
        <v>8560.0</v>
      </c>
      <c r="U309" s="2">
        <v>9688.0</v>
      </c>
      <c r="V309" s="2">
        <v>0.0</v>
      </c>
      <c r="W309" s="2">
        <v>8560.0</v>
      </c>
    </row>
    <row r="310" ht="15.0" customHeight="1">
      <c r="A310" s="2">
        <v>2024.0</v>
      </c>
      <c r="B310" s="2" t="s">
        <v>55</v>
      </c>
      <c r="C310" s="2">
        <v>10.0</v>
      </c>
      <c r="D310" s="2" t="s">
        <v>56</v>
      </c>
      <c r="E310" s="2" t="s">
        <v>25</v>
      </c>
      <c r="F310" s="2" t="s">
        <v>26</v>
      </c>
      <c r="G310" s="2" t="s">
        <v>39</v>
      </c>
      <c r="H310" s="2" t="s">
        <v>40</v>
      </c>
      <c r="I310" s="2" t="s">
        <v>30</v>
      </c>
      <c r="J310" s="2">
        <v>1404.0</v>
      </c>
      <c r="K310" s="2">
        <v>654.0</v>
      </c>
      <c r="L310" s="2">
        <v>265.0</v>
      </c>
      <c r="M310" s="2">
        <v>249.0</v>
      </c>
      <c r="N310" s="2">
        <v>107.0</v>
      </c>
      <c r="O310" s="2">
        <v>128.0</v>
      </c>
      <c r="P310" s="2">
        <v>84.0</v>
      </c>
      <c r="Q310" s="2">
        <v>0.0</v>
      </c>
      <c r="R310" s="2">
        <v>1102.0</v>
      </c>
      <c r="S310" s="2">
        <v>671.0</v>
      </c>
      <c r="T310" s="2">
        <v>431.0</v>
      </c>
      <c r="U310" s="2">
        <v>658.0</v>
      </c>
      <c r="V310" s="2">
        <v>14.0</v>
      </c>
      <c r="W310" s="2">
        <v>445.0</v>
      </c>
    </row>
    <row r="311" ht="15.0" customHeight="1">
      <c r="A311" s="2">
        <v>2024.0</v>
      </c>
      <c r="B311" s="2" t="s">
        <v>55</v>
      </c>
      <c r="C311" s="2">
        <v>10.0</v>
      </c>
      <c r="D311" s="2" t="s">
        <v>56</v>
      </c>
      <c r="E311" s="2" t="s">
        <v>25</v>
      </c>
      <c r="F311" s="2" t="s">
        <v>26</v>
      </c>
      <c r="G311" s="2" t="s">
        <v>39</v>
      </c>
      <c r="H311" s="2" t="s">
        <v>40</v>
      </c>
      <c r="I311" s="2" t="s">
        <v>31</v>
      </c>
      <c r="J311" s="2">
        <v>3175.0</v>
      </c>
      <c r="K311" s="2">
        <v>2122.0</v>
      </c>
      <c r="L311" s="2">
        <v>1015.0</v>
      </c>
      <c r="M311" s="2">
        <v>901.0</v>
      </c>
      <c r="N311" s="2">
        <v>380.0</v>
      </c>
      <c r="O311" s="2">
        <v>494.0</v>
      </c>
      <c r="P311" s="2">
        <v>351.0</v>
      </c>
      <c r="Q311" s="2">
        <v>0.0</v>
      </c>
      <c r="R311" s="2">
        <v>4529.0</v>
      </c>
      <c r="S311" s="2">
        <v>12.0</v>
      </c>
      <c r="T311" s="2">
        <v>4517.0</v>
      </c>
      <c r="U311" s="2">
        <v>12.0</v>
      </c>
      <c r="V311" s="2">
        <v>0.0</v>
      </c>
      <c r="W311" s="2">
        <v>4517.0</v>
      </c>
    </row>
    <row r="312" ht="15.0" customHeight="1">
      <c r="A312" s="2">
        <v>2024.0</v>
      </c>
      <c r="B312" s="2" t="s">
        <v>55</v>
      </c>
      <c r="C312" s="2">
        <v>10.0</v>
      </c>
      <c r="D312" s="2" t="s">
        <v>56</v>
      </c>
      <c r="E312" s="2" t="s">
        <v>25</v>
      </c>
      <c r="F312" s="2" t="s">
        <v>26</v>
      </c>
      <c r="G312" s="2" t="s">
        <v>41</v>
      </c>
      <c r="H312" s="2" t="s">
        <v>42</v>
      </c>
      <c r="I312" s="2" t="s">
        <v>29</v>
      </c>
      <c r="J312" s="2">
        <v>28429.0</v>
      </c>
      <c r="K312" s="2">
        <v>17180.0</v>
      </c>
      <c r="L312" s="2">
        <v>8170.0</v>
      </c>
      <c r="M312" s="2">
        <v>7716.0</v>
      </c>
      <c r="N312" s="2">
        <v>4458.0</v>
      </c>
      <c r="O312" s="2">
        <v>5662.0</v>
      </c>
      <c r="P312" s="2">
        <v>4612.0</v>
      </c>
      <c r="Q312" s="2">
        <v>109.0</v>
      </c>
      <c r="R312" s="2">
        <v>36667.0</v>
      </c>
      <c r="S312" s="2">
        <v>21875.0</v>
      </c>
      <c r="T312" s="2">
        <v>14792.0</v>
      </c>
      <c r="U312" s="2">
        <v>20282.0</v>
      </c>
      <c r="V312" s="2">
        <v>1593.0</v>
      </c>
      <c r="W312" s="2">
        <v>16385.0</v>
      </c>
    </row>
    <row r="313" ht="15.0" customHeight="1">
      <c r="A313" s="2">
        <v>2024.0</v>
      </c>
      <c r="B313" s="2" t="s">
        <v>55</v>
      </c>
      <c r="C313" s="2">
        <v>10.0</v>
      </c>
      <c r="D313" s="2" t="s">
        <v>56</v>
      </c>
      <c r="E313" s="2" t="s">
        <v>25</v>
      </c>
      <c r="F313" s="2" t="s">
        <v>26</v>
      </c>
      <c r="G313" s="2" t="s">
        <v>41</v>
      </c>
      <c r="H313" s="2" t="s">
        <v>42</v>
      </c>
      <c r="I313" s="2" t="s">
        <v>30</v>
      </c>
      <c r="J313" s="2">
        <v>12606.0</v>
      </c>
      <c r="K313" s="2">
        <v>5951.0</v>
      </c>
      <c r="L313" s="2">
        <v>2888.0</v>
      </c>
      <c r="M313" s="2">
        <v>2752.0</v>
      </c>
      <c r="N313" s="2">
        <v>1508.0</v>
      </c>
      <c r="O313" s="2">
        <v>1862.0</v>
      </c>
      <c r="P313" s="2">
        <v>1474.0</v>
      </c>
      <c r="Q313" s="2">
        <v>40.0</v>
      </c>
      <c r="R313" s="2">
        <v>10998.0</v>
      </c>
      <c r="S313" s="2">
        <v>10264.0</v>
      </c>
      <c r="T313" s="2">
        <v>734.0</v>
      </c>
      <c r="U313" s="2">
        <v>10255.0</v>
      </c>
      <c r="V313" s="2">
        <v>10.0</v>
      </c>
      <c r="W313" s="2">
        <v>743.0</v>
      </c>
    </row>
    <row r="314" ht="15.0" customHeight="1">
      <c r="A314" s="2">
        <v>2024.0</v>
      </c>
      <c r="B314" s="2" t="s">
        <v>55</v>
      </c>
      <c r="C314" s="2">
        <v>10.0</v>
      </c>
      <c r="D314" s="2" t="s">
        <v>56</v>
      </c>
      <c r="E314" s="2" t="s">
        <v>25</v>
      </c>
      <c r="F314" s="2" t="s">
        <v>26</v>
      </c>
      <c r="G314" s="2" t="s">
        <v>41</v>
      </c>
      <c r="H314" s="2" t="s">
        <v>42</v>
      </c>
      <c r="I314" s="2" t="s">
        <v>31</v>
      </c>
      <c r="J314" s="2">
        <v>14788.0</v>
      </c>
      <c r="K314" s="2">
        <v>9065.0</v>
      </c>
      <c r="L314" s="2">
        <v>6444.0</v>
      </c>
      <c r="M314" s="2">
        <v>5896.0</v>
      </c>
      <c r="N314" s="2">
        <v>3225.0</v>
      </c>
      <c r="O314" s="2">
        <v>4067.0</v>
      </c>
      <c r="P314" s="2">
        <v>3291.0</v>
      </c>
      <c r="Q314" s="2">
        <v>66.0</v>
      </c>
      <c r="R314" s="2">
        <v>25760.0</v>
      </c>
      <c r="S314" s="2">
        <v>376.0</v>
      </c>
      <c r="T314" s="2">
        <v>25384.0</v>
      </c>
      <c r="U314" s="2">
        <v>376.0</v>
      </c>
      <c r="V314" s="2">
        <v>0.0</v>
      </c>
      <c r="W314" s="2">
        <v>25384.0</v>
      </c>
    </row>
    <row r="315" ht="15.0" customHeight="1">
      <c r="A315" s="2">
        <v>2024.0</v>
      </c>
      <c r="B315" s="2" t="s">
        <v>55</v>
      </c>
      <c r="C315" s="2">
        <v>10.0</v>
      </c>
      <c r="D315" s="2" t="s">
        <v>56</v>
      </c>
      <c r="E315" s="2" t="s">
        <v>25</v>
      </c>
      <c r="F315" s="2" t="s">
        <v>26</v>
      </c>
      <c r="G315" s="2" t="s">
        <v>43</v>
      </c>
      <c r="H315" s="2" t="s">
        <v>42</v>
      </c>
      <c r="I315" s="2" t="s">
        <v>29</v>
      </c>
      <c r="J315" s="2">
        <v>5512.0</v>
      </c>
      <c r="K315" s="2">
        <v>2691.0</v>
      </c>
      <c r="L315" s="2">
        <v>1507.0</v>
      </c>
      <c r="M315" s="2">
        <v>1407.0</v>
      </c>
      <c r="N315" s="2">
        <v>359.0</v>
      </c>
      <c r="O315" s="2">
        <v>760.0</v>
      </c>
      <c r="P315" s="2">
        <v>592.0</v>
      </c>
      <c r="Q315" s="2">
        <v>6.0</v>
      </c>
      <c r="R315" s="2">
        <v>17457.0</v>
      </c>
      <c r="S315" s="2">
        <v>12698.0</v>
      </c>
      <c r="T315" s="2">
        <v>4759.0</v>
      </c>
      <c r="U315" s="2">
        <v>11901.0</v>
      </c>
      <c r="V315" s="2">
        <v>796.0</v>
      </c>
      <c r="W315" s="2">
        <v>5556.0</v>
      </c>
    </row>
    <row r="316" ht="15.0" customHeight="1">
      <c r="A316" s="2">
        <v>2024.0</v>
      </c>
      <c r="B316" s="2" t="s">
        <v>55</v>
      </c>
      <c r="C316" s="2">
        <v>10.0</v>
      </c>
      <c r="D316" s="2" t="s">
        <v>56</v>
      </c>
      <c r="E316" s="2" t="s">
        <v>25</v>
      </c>
      <c r="F316" s="2" t="s">
        <v>26</v>
      </c>
      <c r="G316" s="2" t="s">
        <v>43</v>
      </c>
      <c r="H316" s="2" t="s">
        <v>42</v>
      </c>
      <c r="I316" s="2" t="s">
        <v>30</v>
      </c>
      <c r="J316" s="2">
        <v>673.0</v>
      </c>
      <c r="K316" s="2">
        <v>187.0</v>
      </c>
      <c r="L316" s="2">
        <v>80.0</v>
      </c>
      <c r="M316" s="2">
        <v>73.0</v>
      </c>
      <c r="N316" s="2">
        <v>24.0</v>
      </c>
      <c r="O316" s="2">
        <v>68.0</v>
      </c>
      <c r="P316" s="2">
        <v>54.0</v>
      </c>
      <c r="Q316" s="2">
        <v>0.0</v>
      </c>
      <c r="R316" s="2">
        <v>1697.0</v>
      </c>
      <c r="S316" s="2">
        <v>1024.0</v>
      </c>
      <c r="T316" s="2">
        <v>672.0</v>
      </c>
      <c r="U316" s="2">
        <v>1024.0</v>
      </c>
      <c r="V316" s="2">
        <v>0.0</v>
      </c>
      <c r="W316" s="2">
        <v>672.0</v>
      </c>
    </row>
    <row r="317" ht="15.0" customHeight="1">
      <c r="A317" s="2">
        <v>2024.0</v>
      </c>
      <c r="B317" s="2" t="s">
        <v>55</v>
      </c>
      <c r="C317" s="2">
        <v>10.0</v>
      </c>
      <c r="D317" s="2" t="s">
        <v>56</v>
      </c>
      <c r="E317" s="2" t="s">
        <v>25</v>
      </c>
      <c r="F317" s="2" t="s">
        <v>26</v>
      </c>
      <c r="G317" s="2" t="s">
        <v>43</v>
      </c>
      <c r="H317" s="2" t="s">
        <v>42</v>
      </c>
      <c r="I317" s="2" t="s">
        <v>31</v>
      </c>
      <c r="J317" s="2">
        <v>323.0</v>
      </c>
      <c r="K317" s="2">
        <v>214.0</v>
      </c>
      <c r="L317" s="2">
        <v>138.0</v>
      </c>
      <c r="M317" s="2">
        <v>110.0</v>
      </c>
      <c r="N317" s="2">
        <v>34.0</v>
      </c>
      <c r="O317" s="2">
        <v>106.0</v>
      </c>
      <c r="P317" s="2">
        <v>88.0</v>
      </c>
      <c r="Q317" s="2">
        <v>1.0</v>
      </c>
      <c r="R317" s="2">
        <v>2980.0</v>
      </c>
      <c r="S317" s="2">
        <v>0.0</v>
      </c>
      <c r="T317" s="2">
        <v>2980.0</v>
      </c>
      <c r="U317" s="2">
        <v>0.0</v>
      </c>
      <c r="V317" s="2">
        <v>0.0</v>
      </c>
      <c r="W317" s="2">
        <v>2980.0</v>
      </c>
    </row>
    <row r="318" ht="15.0" customHeight="1">
      <c r="A318" s="2">
        <v>2024.0</v>
      </c>
      <c r="B318" s="2" t="s">
        <v>55</v>
      </c>
      <c r="C318" s="2">
        <v>10.0</v>
      </c>
      <c r="D318" s="2" t="s">
        <v>56</v>
      </c>
      <c r="E318" s="2" t="s">
        <v>25</v>
      </c>
      <c r="F318" s="2" t="s">
        <v>26</v>
      </c>
      <c r="G318" s="2" t="s">
        <v>44</v>
      </c>
      <c r="H318" s="2" t="s">
        <v>45</v>
      </c>
      <c r="I318" s="2" t="s">
        <v>29</v>
      </c>
      <c r="J318" s="2">
        <v>6354.0</v>
      </c>
      <c r="K318" s="2">
        <v>3725.0</v>
      </c>
      <c r="L318" s="2">
        <v>1307.0</v>
      </c>
      <c r="M318" s="2">
        <v>1254.0</v>
      </c>
      <c r="N318" s="2">
        <v>1067.0</v>
      </c>
      <c r="O318" s="2">
        <v>2071.0</v>
      </c>
      <c r="P318" s="2">
        <v>1827.0</v>
      </c>
      <c r="Q318" s="2">
        <v>930.0</v>
      </c>
      <c r="R318" s="2">
        <v>57619.0</v>
      </c>
      <c r="S318" s="2">
        <v>36350.0</v>
      </c>
      <c r="T318" s="2">
        <v>21269.0</v>
      </c>
      <c r="U318" s="2">
        <v>35368.0</v>
      </c>
      <c r="V318" s="2">
        <v>982.0</v>
      </c>
      <c r="W318" s="2">
        <v>22251.0</v>
      </c>
    </row>
    <row r="319" ht="15.0" customHeight="1">
      <c r="A319" s="2">
        <v>2024.0</v>
      </c>
      <c r="B319" s="2" t="s">
        <v>55</v>
      </c>
      <c r="C319" s="2">
        <v>10.0</v>
      </c>
      <c r="D319" s="2" t="s">
        <v>56</v>
      </c>
      <c r="E319" s="2" t="s">
        <v>25</v>
      </c>
      <c r="F319" s="2" t="s">
        <v>26</v>
      </c>
      <c r="G319" s="2" t="s">
        <v>44</v>
      </c>
      <c r="H319" s="2" t="s">
        <v>45</v>
      </c>
      <c r="I319" s="2" t="s">
        <v>30</v>
      </c>
      <c r="J319" s="2">
        <v>2633.0</v>
      </c>
      <c r="K319" s="2">
        <v>1073.0</v>
      </c>
      <c r="L319" s="2">
        <v>289.0</v>
      </c>
      <c r="M319" s="2">
        <v>270.0</v>
      </c>
      <c r="N319" s="2">
        <v>207.0</v>
      </c>
      <c r="O319" s="2">
        <v>382.0</v>
      </c>
      <c r="P319" s="2">
        <v>322.0</v>
      </c>
      <c r="Q319" s="2">
        <v>165.0</v>
      </c>
      <c r="R319" s="2">
        <v>9773.0</v>
      </c>
      <c r="S319" s="2">
        <v>7804.0</v>
      </c>
      <c r="T319" s="2">
        <v>1969.0</v>
      </c>
      <c r="U319" s="2">
        <v>7787.0</v>
      </c>
      <c r="V319" s="2">
        <v>17.0</v>
      </c>
      <c r="W319" s="2">
        <v>1986.0</v>
      </c>
    </row>
    <row r="320" ht="15.0" customHeight="1">
      <c r="A320" s="2">
        <v>2024.0</v>
      </c>
      <c r="B320" s="2" t="s">
        <v>55</v>
      </c>
      <c r="C320" s="2">
        <v>10.0</v>
      </c>
      <c r="D320" s="2" t="s">
        <v>56</v>
      </c>
      <c r="E320" s="2" t="s">
        <v>25</v>
      </c>
      <c r="F320" s="2" t="s">
        <v>26</v>
      </c>
      <c r="G320" s="2" t="s">
        <v>44</v>
      </c>
      <c r="H320" s="2" t="s">
        <v>45</v>
      </c>
      <c r="I320" s="2" t="s">
        <v>31</v>
      </c>
      <c r="J320" s="2">
        <v>1016.0</v>
      </c>
      <c r="K320" s="2">
        <v>575.0</v>
      </c>
      <c r="L320" s="2">
        <v>200.0</v>
      </c>
      <c r="M320" s="2">
        <v>173.0</v>
      </c>
      <c r="N320" s="2">
        <v>137.0</v>
      </c>
      <c r="O320" s="2">
        <v>274.0</v>
      </c>
      <c r="P320" s="2">
        <v>237.0</v>
      </c>
      <c r="Q320" s="2">
        <v>121.0</v>
      </c>
      <c r="R320" s="2">
        <v>8125.0</v>
      </c>
      <c r="S320" s="2">
        <v>60.0</v>
      </c>
      <c r="T320" s="2">
        <v>8065.0</v>
      </c>
      <c r="U320" s="2">
        <v>60.0</v>
      </c>
      <c r="V320" s="2">
        <v>0.0</v>
      </c>
      <c r="W320" s="2">
        <v>8065.0</v>
      </c>
    </row>
    <row r="321" ht="15.0" customHeight="1">
      <c r="A321" s="2">
        <v>2024.0</v>
      </c>
      <c r="B321" s="2" t="s">
        <v>55</v>
      </c>
      <c r="C321" s="2">
        <v>10.0</v>
      </c>
      <c r="D321" s="2" t="s">
        <v>56</v>
      </c>
      <c r="E321" s="2" t="s">
        <v>25</v>
      </c>
      <c r="F321" s="2" t="s">
        <v>26</v>
      </c>
      <c r="G321" s="2" t="s">
        <v>46</v>
      </c>
      <c r="H321" s="2" t="s">
        <v>47</v>
      </c>
      <c r="I321" s="2" t="s">
        <v>29</v>
      </c>
      <c r="J321" s="2">
        <v>8007.0</v>
      </c>
      <c r="K321" s="2">
        <v>3904.0</v>
      </c>
      <c r="L321" s="2">
        <v>1400.0</v>
      </c>
      <c r="M321" s="2">
        <v>1343.0</v>
      </c>
      <c r="N321" s="2">
        <v>1290.0</v>
      </c>
      <c r="O321" s="2">
        <v>2606.0</v>
      </c>
      <c r="P321" s="2">
        <v>1493.0</v>
      </c>
      <c r="Q321" s="2">
        <v>314.0</v>
      </c>
      <c r="R321" s="2">
        <v>54068.0</v>
      </c>
      <c r="S321" s="2">
        <v>35682.0</v>
      </c>
      <c r="T321" s="2">
        <v>18386.0</v>
      </c>
      <c r="U321" s="2">
        <v>35682.0</v>
      </c>
      <c r="V321" s="2">
        <v>0.0</v>
      </c>
      <c r="W321" s="2">
        <v>18386.0</v>
      </c>
    </row>
    <row r="322" ht="15.0" customHeight="1">
      <c r="A322" s="2">
        <v>2024.0</v>
      </c>
      <c r="B322" s="2" t="s">
        <v>55</v>
      </c>
      <c r="C322" s="2">
        <v>10.0</v>
      </c>
      <c r="D322" s="2" t="s">
        <v>56</v>
      </c>
      <c r="E322" s="2" t="s">
        <v>25</v>
      </c>
      <c r="F322" s="2" t="s">
        <v>26</v>
      </c>
      <c r="G322" s="2" t="s">
        <v>46</v>
      </c>
      <c r="H322" s="2" t="s">
        <v>47</v>
      </c>
      <c r="I322" s="2" t="s">
        <v>30</v>
      </c>
      <c r="J322" s="2">
        <v>1228.0</v>
      </c>
      <c r="K322" s="2">
        <v>403.0</v>
      </c>
      <c r="L322" s="2">
        <v>145.0</v>
      </c>
      <c r="M322" s="2">
        <v>136.0</v>
      </c>
      <c r="N322" s="2">
        <v>128.0</v>
      </c>
      <c r="O322" s="2">
        <v>259.0</v>
      </c>
      <c r="P322" s="2">
        <v>146.0</v>
      </c>
      <c r="Q322" s="2">
        <v>39.0</v>
      </c>
      <c r="R322" s="2">
        <v>5578.0</v>
      </c>
      <c r="S322" s="2">
        <v>4153.0</v>
      </c>
      <c r="T322" s="2">
        <v>1426.0</v>
      </c>
      <c r="U322" s="2">
        <v>4148.0</v>
      </c>
      <c r="V322" s="2">
        <v>4.0</v>
      </c>
      <c r="W322" s="2">
        <v>1430.0</v>
      </c>
    </row>
    <row r="323" ht="15.0" customHeight="1">
      <c r="A323" s="2">
        <v>2024.0</v>
      </c>
      <c r="B323" s="2" t="s">
        <v>55</v>
      </c>
      <c r="C323" s="2">
        <v>10.0</v>
      </c>
      <c r="D323" s="2" t="s">
        <v>56</v>
      </c>
      <c r="E323" s="2" t="s">
        <v>25</v>
      </c>
      <c r="F323" s="2" t="s">
        <v>26</v>
      </c>
      <c r="G323" s="2" t="s">
        <v>46</v>
      </c>
      <c r="H323" s="2" t="s">
        <v>47</v>
      </c>
      <c r="I323" s="2" t="s">
        <v>31</v>
      </c>
      <c r="J323" s="2">
        <v>1787.0</v>
      </c>
      <c r="K323" s="2">
        <v>955.0</v>
      </c>
      <c r="L323" s="2">
        <v>266.0</v>
      </c>
      <c r="M323" s="2">
        <v>205.0</v>
      </c>
      <c r="N323" s="2">
        <v>194.0</v>
      </c>
      <c r="O323" s="2">
        <v>419.0</v>
      </c>
      <c r="P323" s="2">
        <v>249.0</v>
      </c>
      <c r="Q323" s="2">
        <v>68.0</v>
      </c>
      <c r="R323" s="2">
        <v>10614.0</v>
      </c>
      <c r="S323" s="2">
        <v>1860.0</v>
      </c>
      <c r="T323" s="2">
        <v>8754.0</v>
      </c>
      <c r="U323" s="2">
        <v>1860.0</v>
      </c>
      <c r="V323" s="2">
        <v>0.0</v>
      </c>
      <c r="W323" s="2">
        <v>8754.0</v>
      </c>
    </row>
    <row r="324" ht="15.0" customHeight="1">
      <c r="A324" s="2">
        <v>2024.0</v>
      </c>
      <c r="B324" s="2" t="s">
        <v>55</v>
      </c>
      <c r="C324" s="2">
        <v>10.0</v>
      </c>
      <c r="D324" s="2" t="s">
        <v>56</v>
      </c>
      <c r="E324" s="2" t="s">
        <v>25</v>
      </c>
      <c r="F324" s="2" t="s">
        <v>48</v>
      </c>
      <c r="G324" s="2" t="s">
        <v>27</v>
      </c>
      <c r="H324" s="2" t="s">
        <v>28</v>
      </c>
      <c r="I324" s="2" t="s">
        <v>29</v>
      </c>
      <c r="J324" s="2">
        <v>6444.0</v>
      </c>
      <c r="K324" s="2">
        <v>3421.0</v>
      </c>
      <c r="L324" s="2">
        <v>1379.0</v>
      </c>
      <c r="M324" s="2">
        <v>1303.0</v>
      </c>
      <c r="N324" s="2">
        <v>794.0</v>
      </c>
      <c r="O324" s="2">
        <v>1262.0</v>
      </c>
      <c r="P324" s="2">
        <v>1101.0</v>
      </c>
      <c r="Q324" s="2">
        <v>0.0</v>
      </c>
      <c r="R324" s="2">
        <v>31319.0</v>
      </c>
      <c r="S324" s="2">
        <v>21374.0</v>
      </c>
      <c r="T324" s="2">
        <v>9944.0</v>
      </c>
      <c r="U324" s="2">
        <v>21055.0</v>
      </c>
      <c r="V324" s="2">
        <v>319.0</v>
      </c>
      <c r="W324" s="2">
        <v>10263.0</v>
      </c>
    </row>
    <row r="325" ht="15.0" customHeight="1">
      <c r="A325" s="2">
        <v>2024.0</v>
      </c>
      <c r="B325" s="2" t="s">
        <v>55</v>
      </c>
      <c r="C325" s="2">
        <v>10.0</v>
      </c>
      <c r="D325" s="2" t="s">
        <v>56</v>
      </c>
      <c r="E325" s="2" t="s">
        <v>25</v>
      </c>
      <c r="F325" s="2" t="s">
        <v>48</v>
      </c>
      <c r="G325" s="2" t="s">
        <v>27</v>
      </c>
      <c r="H325" s="2" t="s">
        <v>28</v>
      </c>
      <c r="I325" s="2" t="s">
        <v>30</v>
      </c>
      <c r="J325" s="2">
        <v>2375.0</v>
      </c>
      <c r="K325" s="2">
        <v>779.0</v>
      </c>
      <c r="L325" s="2">
        <v>281.0</v>
      </c>
      <c r="M325" s="2">
        <v>263.0</v>
      </c>
      <c r="N325" s="2">
        <v>132.0</v>
      </c>
      <c r="O325" s="2">
        <v>209.0</v>
      </c>
      <c r="P325" s="2">
        <v>175.0</v>
      </c>
      <c r="Q325" s="2">
        <v>0.0</v>
      </c>
      <c r="R325" s="2">
        <v>4892.0</v>
      </c>
      <c r="S325" s="2">
        <v>2856.0</v>
      </c>
      <c r="T325" s="2">
        <v>2036.0</v>
      </c>
      <c r="U325" s="2">
        <v>2766.0</v>
      </c>
      <c r="V325" s="2">
        <v>90.0</v>
      </c>
      <c r="W325" s="2">
        <v>2126.0</v>
      </c>
    </row>
    <row r="326" ht="15.0" customHeight="1">
      <c r="A326" s="2">
        <v>2024.0</v>
      </c>
      <c r="B326" s="2" t="s">
        <v>55</v>
      </c>
      <c r="C326" s="2">
        <v>10.0</v>
      </c>
      <c r="D326" s="2" t="s">
        <v>56</v>
      </c>
      <c r="E326" s="2" t="s">
        <v>25</v>
      </c>
      <c r="F326" s="2" t="s">
        <v>48</v>
      </c>
      <c r="G326" s="2" t="s">
        <v>27</v>
      </c>
      <c r="H326" s="2" t="s">
        <v>28</v>
      </c>
      <c r="I326" s="2" t="s">
        <v>31</v>
      </c>
      <c r="J326" s="2">
        <v>119.0</v>
      </c>
      <c r="K326" s="2">
        <v>90.0</v>
      </c>
      <c r="L326" s="2">
        <v>62.0</v>
      </c>
      <c r="M326" s="2">
        <v>55.0</v>
      </c>
      <c r="N326" s="2">
        <v>37.0</v>
      </c>
      <c r="O326" s="2">
        <v>60.0</v>
      </c>
      <c r="P326" s="2">
        <v>52.0</v>
      </c>
      <c r="Q326" s="2">
        <v>0.0</v>
      </c>
      <c r="R326" s="2">
        <v>1530.0</v>
      </c>
      <c r="S326" s="2">
        <v>0.0</v>
      </c>
      <c r="T326" s="2">
        <v>1530.0</v>
      </c>
      <c r="U326" s="2">
        <v>0.0</v>
      </c>
      <c r="V326" s="2">
        <v>0.0</v>
      </c>
      <c r="W326" s="2">
        <v>1530.0</v>
      </c>
    </row>
    <row r="327" ht="15.0" customHeight="1">
      <c r="A327" s="2">
        <v>2024.0</v>
      </c>
      <c r="B327" s="2" t="s">
        <v>55</v>
      </c>
      <c r="C327" s="2">
        <v>10.0</v>
      </c>
      <c r="D327" s="2" t="s">
        <v>56</v>
      </c>
      <c r="E327" s="2" t="s">
        <v>25</v>
      </c>
      <c r="F327" s="2" t="s">
        <v>48</v>
      </c>
      <c r="G327" s="2" t="s">
        <v>32</v>
      </c>
      <c r="H327" s="2" t="s">
        <v>28</v>
      </c>
      <c r="I327" s="2" t="s">
        <v>29</v>
      </c>
      <c r="J327" s="2">
        <v>410.0</v>
      </c>
      <c r="K327" s="2">
        <v>182.0</v>
      </c>
      <c r="L327" s="2">
        <v>87.0</v>
      </c>
      <c r="M327" s="2">
        <v>84.0</v>
      </c>
      <c r="N327" s="2">
        <v>30.0</v>
      </c>
      <c r="O327" s="2">
        <v>41.0</v>
      </c>
      <c r="P327" s="2">
        <v>33.0</v>
      </c>
      <c r="Q327" s="2">
        <v>0.0</v>
      </c>
      <c r="R327" s="2">
        <v>528.0</v>
      </c>
      <c r="S327" s="2">
        <v>276.0</v>
      </c>
      <c r="T327" s="2">
        <v>252.0</v>
      </c>
      <c r="U327" s="2">
        <v>252.0</v>
      </c>
      <c r="V327" s="2">
        <v>24.0</v>
      </c>
      <c r="W327" s="2">
        <v>276.0</v>
      </c>
    </row>
    <row r="328" ht="15.0" customHeight="1">
      <c r="A328" s="2">
        <v>2024.0</v>
      </c>
      <c r="B328" s="2" t="s">
        <v>55</v>
      </c>
      <c r="C328" s="2">
        <v>10.0</v>
      </c>
      <c r="D328" s="2" t="s">
        <v>56</v>
      </c>
      <c r="E328" s="2" t="s">
        <v>25</v>
      </c>
      <c r="F328" s="2" t="s">
        <v>48</v>
      </c>
      <c r="G328" s="2" t="s">
        <v>32</v>
      </c>
      <c r="H328" s="2" t="s">
        <v>28</v>
      </c>
      <c r="I328" s="2" t="s">
        <v>30</v>
      </c>
      <c r="J328" s="2">
        <v>255.0</v>
      </c>
      <c r="K328" s="2">
        <v>100.0</v>
      </c>
      <c r="L328" s="2">
        <v>53.0</v>
      </c>
      <c r="M328" s="2">
        <v>52.0</v>
      </c>
      <c r="N328" s="2">
        <v>15.0</v>
      </c>
      <c r="O328" s="2">
        <v>20.0</v>
      </c>
      <c r="P328" s="2">
        <v>17.0</v>
      </c>
      <c r="Q328" s="2">
        <v>0.0</v>
      </c>
      <c r="R328" s="2">
        <v>252.0</v>
      </c>
      <c r="S328" s="2">
        <v>111.0</v>
      </c>
      <c r="T328" s="2">
        <v>141.0</v>
      </c>
      <c r="U328" s="2">
        <v>111.0</v>
      </c>
      <c r="V328" s="2">
        <v>0.0</v>
      </c>
      <c r="W328" s="2">
        <v>141.0</v>
      </c>
    </row>
    <row r="329" ht="15.0" customHeight="1">
      <c r="A329" s="2">
        <v>2024.0</v>
      </c>
      <c r="B329" s="2" t="s">
        <v>55</v>
      </c>
      <c r="C329" s="2">
        <v>10.0</v>
      </c>
      <c r="D329" s="2" t="s">
        <v>56</v>
      </c>
      <c r="E329" s="2" t="s">
        <v>25</v>
      </c>
      <c r="F329" s="2" t="s">
        <v>48</v>
      </c>
      <c r="G329" s="2" t="s">
        <v>32</v>
      </c>
      <c r="H329" s="2" t="s">
        <v>28</v>
      </c>
      <c r="I329" s="2" t="s">
        <v>31</v>
      </c>
      <c r="J329" s="2">
        <v>1056.0</v>
      </c>
      <c r="K329" s="2">
        <v>560.0</v>
      </c>
      <c r="L329" s="2">
        <v>324.0</v>
      </c>
      <c r="M329" s="2">
        <v>288.0</v>
      </c>
      <c r="N329" s="2">
        <v>89.0</v>
      </c>
      <c r="O329" s="2">
        <v>112.0</v>
      </c>
      <c r="P329" s="2">
        <v>83.0</v>
      </c>
      <c r="Q329" s="2">
        <v>0.0</v>
      </c>
      <c r="R329" s="2">
        <v>1243.0</v>
      </c>
      <c r="S329" s="2">
        <v>0.0</v>
      </c>
      <c r="T329" s="2">
        <v>1243.0</v>
      </c>
      <c r="U329" s="2">
        <v>0.0</v>
      </c>
      <c r="V329" s="2">
        <v>0.0</v>
      </c>
      <c r="W329" s="2">
        <v>1243.0</v>
      </c>
    </row>
    <row r="330" ht="15.0" customHeight="1">
      <c r="A330" s="2">
        <v>2024.0</v>
      </c>
      <c r="B330" s="2" t="s">
        <v>55</v>
      </c>
      <c r="C330" s="2">
        <v>10.0</v>
      </c>
      <c r="D330" s="2" t="s">
        <v>56</v>
      </c>
      <c r="E330" s="2" t="s">
        <v>25</v>
      </c>
      <c r="F330" s="2" t="s">
        <v>48</v>
      </c>
      <c r="G330" s="2" t="s">
        <v>33</v>
      </c>
      <c r="H330" s="2" t="s">
        <v>28</v>
      </c>
      <c r="I330" s="2" t="s">
        <v>29</v>
      </c>
      <c r="J330" s="2">
        <v>3144.0</v>
      </c>
      <c r="K330" s="2">
        <v>1907.0</v>
      </c>
      <c r="L330" s="2">
        <v>819.0</v>
      </c>
      <c r="M330" s="2">
        <v>774.0</v>
      </c>
      <c r="N330" s="2">
        <v>532.0</v>
      </c>
      <c r="O330" s="2">
        <v>606.0</v>
      </c>
      <c r="P330" s="2">
        <v>583.0</v>
      </c>
      <c r="Q330" s="2">
        <v>533.0</v>
      </c>
      <c r="R330" s="2">
        <v>13805.0</v>
      </c>
      <c r="S330" s="2">
        <v>10658.0</v>
      </c>
      <c r="T330" s="2">
        <v>3147.0</v>
      </c>
      <c r="U330" s="2">
        <v>10611.0</v>
      </c>
      <c r="V330" s="2">
        <v>47.0</v>
      </c>
      <c r="W330" s="2">
        <v>3194.0</v>
      </c>
    </row>
    <row r="331" ht="15.0" customHeight="1">
      <c r="A331" s="2">
        <v>2024.0</v>
      </c>
      <c r="B331" s="2" t="s">
        <v>55</v>
      </c>
      <c r="C331" s="2">
        <v>10.0</v>
      </c>
      <c r="D331" s="2" t="s">
        <v>56</v>
      </c>
      <c r="E331" s="2" t="s">
        <v>25</v>
      </c>
      <c r="F331" s="2" t="s">
        <v>48</v>
      </c>
      <c r="G331" s="2" t="s">
        <v>33</v>
      </c>
      <c r="H331" s="2" t="s">
        <v>28</v>
      </c>
      <c r="I331" s="2" t="s">
        <v>30</v>
      </c>
      <c r="J331" s="2">
        <v>1707.0</v>
      </c>
      <c r="K331" s="2">
        <v>647.0</v>
      </c>
      <c r="L331" s="2">
        <v>303.0</v>
      </c>
      <c r="M331" s="2">
        <v>286.0</v>
      </c>
      <c r="N331" s="2">
        <v>110.0</v>
      </c>
      <c r="O331" s="2">
        <v>125.0</v>
      </c>
      <c r="P331" s="2">
        <v>115.0</v>
      </c>
      <c r="Q331" s="2">
        <v>101.0</v>
      </c>
      <c r="R331" s="2">
        <v>2549.0</v>
      </c>
      <c r="S331" s="2">
        <v>2943.0</v>
      </c>
      <c r="T331" s="2">
        <v>-394.0</v>
      </c>
      <c r="U331" s="2">
        <v>2943.0</v>
      </c>
      <c r="V331" s="2">
        <v>0.0</v>
      </c>
      <c r="W331" s="2">
        <v>-394.0</v>
      </c>
    </row>
    <row r="332" ht="15.0" customHeight="1">
      <c r="A332" s="2">
        <v>2024.0</v>
      </c>
      <c r="B332" s="2" t="s">
        <v>55</v>
      </c>
      <c r="C332" s="2">
        <v>10.0</v>
      </c>
      <c r="D332" s="2" t="s">
        <v>56</v>
      </c>
      <c r="E332" s="2" t="s">
        <v>25</v>
      </c>
      <c r="F332" s="2" t="s">
        <v>48</v>
      </c>
      <c r="G332" s="2" t="s">
        <v>33</v>
      </c>
      <c r="H332" s="2" t="s">
        <v>28</v>
      </c>
      <c r="I332" s="2" t="s">
        <v>31</v>
      </c>
      <c r="J332" s="2">
        <v>199.0</v>
      </c>
      <c r="K332" s="2">
        <v>79.0</v>
      </c>
      <c r="L332" s="2">
        <v>36.0</v>
      </c>
      <c r="M332" s="2">
        <v>27.0</v>
      </c>
      <c r="N332" s="2">
        <v>14.0</v>
      </c>
      <c r="O332" s="2">
        <v>18.0</v>
      </c>
      <c r="P332" s="2">
        <v>15.0</v>
      </c>
      <c r="Q332" s="2">
        <v>11.0</v>
      </c>
      <c r="R332" s="2">
        <v>365.0</v>
      </c>
      <c r="S332" s="2">
        <v>0.0</v>
      </c>
      <c r="T332" s="2">
        <v>365.0</v>
      </c>
      <c r="U332" s="2">
        <v>0.0</v>
      </c>
      <c r="V332" s="2">
        <v>0.0</v>
      </c>
      <c r="W332" s="2">
        <v>365.0</v>
      </c>
    </row>
    <row r="333" ht="15.0" customHeight="1">
      <c r="A333" s="2">
        <v>2024.0</v>
      </c>
      <c r="B333" s="2" t="s">
        <v>55</v>
      </c>
      <c r="C333" s="2">
        <v>10.0</v>
      </c>
      <c r="D333" s="2" t="s">
        <v>56</v>
      </c>
      <c r="E333" s="2" t="s">
        <v>25</v>
      </c>
      <c r="F333" s="2" t="s">
        <v>48</v>
      </c>
      <c r="G333" s="2" t="s">
        <v>34</v>
      </c>
      <c r="H333" s="2" t="s">
        <v>35</v>
      </c>
      <c r="I333" s="2" t="s">
        <v>29</v>
      </c>
      <c r="J333" s="2">
        <v>35420.0</v>
      </c>
      <c r="K333" s="2">
        <v>22300.0</v>
      </c>
      <c r="L333" s="2">
        <v>9603.0</v>
      </c>
      <c r="M333" s="2">
        <v>9210.0</v>
      </c>
      <c r="N333" s="2">
        <v>4146.0</v>
      </c>
      <c r="O333" s="2">
        <v>5717.0</v>
      </c>
      <c r="P333" s="2">
        <v>4522.0</v>
      </c>
      <c r="Q333" s="2">
        <v>0.0</v>
      </c>
      <c r="R333" s="2">
        <v>68768.0</v>
      </c>
      <c r="S333" s="2">
        <v>51007.0</v>
      </c>
      <c r="T333" s="2">
        <v>17761.0</v>
      </c>
      <c r="U333" s="2">
        <v>47543.0</v>
      </c>
      <c r="V333" s="2">
        <v>3464.0</v>
      </c>
      <c r="W333" s="2">
        <v>21225.0</v>
      </c>
    </row>
    <row r="334" ht="15.0" customHeight="1">
      <c r="A334" s="2">
        <v>2024.0</v>
      </c>
      <c r="B334" s="2" t="s">
        <v>55</v>
      </c>
      <c r="C334" s="2">
        <v>10.0</v>
      </c>
      <c r="D334" s="2" t="s">
        <v>56</v>
      </c>
      <c r="E334" s="2" t="s">
        <v>25</v>
      </c>
      <c r="F334" s="2" t="s">
        <v>48</v>
      </c>
      <c r="G334" s="2" t="s">
        <v>34</v>
      </c>
      <c r="H334" s="2" t="s">
        <v>35</v>
      </c>
      <c r="I334" s="2" t="s">
        <v>30</v>
      </c>
      <c r="J334" s="2">
        <v>19023.0</v>
      </c>
      <c r="K334" s="2">
        <v>9913.0</v>
      </c>
      <c r="L334" s="2">
        <v>3622.0</v>
      </c>
      <c r="M334" s="2">
        <v>3415.0</v>
      </c>
      <c r="N334" s="2">
        <v>1379.0</v>
      </c>
      <c r="O334" s="2">
        <v>1818.0</v>
      </c>
      <c r="P334" s="2">
        <v>1410.0</v>
      </c>
      <c r="Q334" s="2">
        <v>0.0</v>
      </c>
      <c r="R334" s="2">
        <v>22813.0</v>
      </c>
      <c r="S334" s="2">
        <v>16298.0</v>
      </c>
      <c r="T334" s="2">
        <v>6515.0</v>
      </c>
      <c r="U334" s="2">
        <v>16298.0</v>
      </c>
      <c r="V334" s="2">
        <v>0.0</v>
      </c>
      <c r="W334" s="2">
        <v>6515.0</v>
      </c>
    </row>
    <row r="335" ht="15.0" customHeight="1">
      <c r="A335" s="2">
        <v>2024.0</v>
      </c>
      <c r="B335" s="2" t="s">
        <v>55</v>
      </c>
      <c r="C335" s="2">
        <v>10.0</v>
      </c>
      <c r="D335" s="2" t="s">
        <v>56</v>
      </c>
      <c r="E335" s="2" t="s">
        <v>25</v>
      </c>
      <c r="F335" s="2" t="s">
        <v>48</v>
      </c>
      <c r="G335" s="2" t="s">
        <v>34</v>
      </c>
      <c r="H335" s="2" t="s">
        <v>35</v>
      </c>
      <c r="I335" s="2" t="s">
        <v>31</v>
      </c>
      <c r="J335" s="2">
        <v>1265.0</v>
      </c>
      <c r="K335" s="2">
        <v>691.0</v>
      </c>
      <c r="L335" s="2">
        <v>490.0</v>
      </c>
      <c r="M335" s="2">
        <v>421.0</v>
      </c>
      <c r="N335" s="2">
        <v>185.0</v>
      </c>
      <c r="O335" s="2">
        <v>268.0</v>
      </c>
      <c r="P335" s="2">
        <v>213.0</v>
      </c>
      <c r="Q335" s="2">
        <v>0.0</v>
      </c>
      <c r="R335" s="2">
        <v>3412.0</v>
      </c>
      <c r="S335" s="2">
        <v>23.0</v>
      </c>
      <c r="T335" s="2">
        <v>3389.0</v>
      </c>
      <c r="U335" s="2">
        <v>23.0</v>
      </c>
      <c r="V335" s="2">
        <v>0.0</v>
      </c>
      <c r="W335" s="2">
        <v>3389.0</v>
      </c>
    </row>
    <row r="336" ht="15.0" customHeight="1">
      <c r="A336" s="2">
        <v>2024.0</v>
      </c>
      <c r="B336" s="2" t="s">
        <v>55</v>
      </c>
      <c r="C336" s="2">
        <v>10.0</v>
      </c>
      <c r="D336" s="2" t="s">
        <v>56</v>
      </c>
      <c r="E336" s="2" t="s">
        <v>25</v>
      </c>
      <c r="F336" s="2" t="s">
        <v>48</v>
      </c>
      <c r="G336" s="2" t="s">
        <v>36</v>
      </c>
      <c r="H336" s="2" t="s">
        <v>35</v>
      </c>
      <c r="I336" s="2" t="s">
        <v>29</v>
      </c>
      <c r="J336" s="2">
        <v>15901.0</v>
      </c>
      <c r="K336" s="2">
        <v>9354.0</v>
      </c>
      <c r="L336" s="2">
        <v>4583.0</v>
      </c>
      <c r="M336" s="2">
        <v>4404.0</v>
      </c>
      <c r="N336" s="2">
        <v>3359.0</v>
      </c>
      <c r="O336" s="2">
        <v>6254.0</v>
      </c>
      <c r="P336" s="2">
        <v>5317.0</v>
      </c>
      <c r="Q336" s="2">
        <v>0.0</v>
      </c>
      <c r="R336" s="2">
        <v>69005.0</v>
      </c>
      <c r="S336" s="2">
        <v>49359.0</v>
      </c>
      <c r="T336" s="2">
        <v>19647.0</v>
      </c>
      <c r="U336" s="2">
        <v>47872.0</v>
      </c>
      <c r="V336" s="2">
        <v>1487.0</v>
      </c>
      <c r="W336" s="2">
        <v>21133.0</v>
      </c>
    </row>
    <row r="337" ht="15.0" customHeight="1">
      <c r="A337" s="2">
        <v>2024.0</v>
      </c>
      <c r="B337" s="2" t="s">
        <v>55</v>
      </c>
      <c r="C337" s="2">
        <v>10.0</v>
      </c>
      <c r="D337" s="2" t="s">
        <v>56</v>
      </c>
      <c r="E337" s="2" t="s">
        <v>25</v>
      </c>
      <c r="F337" s="2" t="s">
        <v>48</v>
      </c>
      <c r="G337" s="2" t="s">
        <v>36</v>
      </c>
      <c r="H337" s="2" t="s">
        <v>35</v>
      </c>
      <c r="I337" s="2" t="s">
        <v>30</v>
      </c>
      <c r="J337" s="2">
        <v>3997.0</v>
      </c>
      <c r="K337" s="2">
        <v>1650.0</v>
      </c>
      <c r="L337" s="2">
        <v>854.0</v>
      </c>
      <c r="M337" s="2">
        <v>815.0</v>
      </c>
      <c r="N337" s="2">
        <v>631.0</v>
      </c>
      <c r="O337" s="2">
        <v>1189.0</v>
      </c>
      <c r="P337" s="2">
        <v>1017.0</v>
      </c>
      <c r="Q337" s="2">
        <v>0.0</v>
      </c>
      <c r="R337" s="2">
        <v>13786.0</v>
      </c>
      <c r="S337" s="2">
        <v>9260.0</v>
      </c>
      <c r="T337" s="2">
        <v>4526.0</v>
      </c>
      <c r="U337" s="2">
        <v>8917.0</v>
      </c>
      <c r="V337" s="2">
        <v>343.0</v>
      </c>
      <c r="W337" s="2">
        <v>4868.0</v>
      </c>
    </row>
    <row r="338" ht="15.0" customHeight="1">
      <c r="A338" s="2">
        <v>2024.0</v>
      </c>
      <c r="B338" s="2" t="s">
        <v>55</v>
      </c>
      <c r="C338" s="2">
        <v>10.0</v>
      </c>
      <c r="D338" s="2" t="s">
        <v>56</v>
      </c>
      <c r="E338" s="2" t="s">
        <v>25</v>
      </c>
      <c r="F338" s="2" t="s">
        <v>48</v>
      </c>
      <c r="G338" s="2" t="s">
        <v>36</v>
      </c>
      <c r="H338" s="2" t="s">
        <v>35</v>
      </c>
      <c r="I338" s="2" t="s">
        <v>31</v>
      </c>
      <c r="J338" s="2">
        <v>1174.0</v>
      </c>
      <c r="K338" s="2">
        <v>800.0</v>
      </c>
      <c r="L338" s="2">
        <v>527.0</v>
      </c>
      <c r="M338" s="2">
        <v>485.0</v>
      </c>
      <c r="N338" s="2">
        <v>348.0</v>
      </c>
      <c r="O338" s="2">
        <v>633.0</v>
      </c>
      <c r="P338" s="2">
        <v>541.0</v>
      </c>
      <c r="Q338" s="2">
        <v>0.0</v>
      </c>
      <c r="R338" s="2">
        <v>7081.0</v>
      </c>
      <c r="S338" s="2">
        <v>8.0</v>
      </c>
      <c r="T338" s="2">
        <v>7073.0</v>
      </c>
      <c r="U338" s="2">
        <v>8.0</v>
      </c>
      <c r="V338" s="2">
        <v>0.0</v>
      </c>
      <c r="W338" s="2">
        <v>7073.0</v>
      </c>
    </row>
    <row r="339" ht="15.0" customHeight="1">
      <c r="A339" s="2">
        <v>2024.0</v>
      </c>
      <c r="B339" s="2" t="s">
        <v>55</v>
      </c>
      <c r="C339" s="2">
        <v>10.0</v>
      </c>
      <c r="D339" s="2" t="s">
        <v>56</v>
      </c>
      <c r="E339" s="2" t="s">
        <v>25</v>
      </c>
      <c r="F339" s="2" t="s">
        <v>48</v>
      </c>
      <c r="G339" s="2" t="s">
        <v>37</v>
      </c>
      <c r="H339" s="2" t="s">
        <v>35</v>
      </c>
      <c r="I339" s="2" t="s">
        <v>29</v>
      </c>
      <c r="J339" s="2">
        <v>4148.0</v>
      </c>
      <c r="K339" s="2">
        <v>1980.0</v>
      </c>
      <c r="L339" s="2">
        <v>774.0</v>
      </c>
      <c r="M339" s="2">
        <v>743.0</v>
      </c>
      <c r="N339" s="2">
        <v>496.0</v>
      </c>
      <c r="O339" s="2">
        <v>1140.0</v>
      </c>
      <c r="P339" s="2">
        <v>855.0</v>
      </c>
      <c r="Q339" s="2">
        <v>1.0</v>
      </c>
      <c r="R339" s="2">
        <v>22274.0</v>
      </c>
      <c r="S339" s="2">
        <v>16893.0</v>
      </c>
      <c r="T339" s="2">
        <v>5381.0</v>
      </c>
      <c r="U339" s="2">
        <v>16893.0</v>
      </c>
      <c r="V339" s="2">
        <v>0.0</v>
      </c>
      <c r="W339" s="2">
        <v>5381.0</v>
      </c>
    </row>
    <row r="340" ht="15.0" customHeight="1">
      <c r="A340" s="2">
        <v>2024.0</v>
      </c>
      <c r="B340" s="2" t="s">
        <v>55</v>
      </c>
      <c r="C340" s="2">
        <v>10.0</v>
      </c>
      <c r="D340" s="2" t="s">
        <v>56</v>
      </c>
      <c r="E340" s="2" t="s">
        <v>25</v>
      </c>
      <c r="F340" s="2" t="s">
        <v>48</v>
      </c>
      <c r="G340" s="2" t="s">
        <v>37</v>
      </c>
      <c r="H340" s="2" t="s">
        <v>35</v>
      </c>
      <c r="I340" s="2" t="s">
        <v>30</v>
      </c>
      <c r="J340" s="2">
        <v>2235.0</v>
      </c>
      <c r="K340" s="2">
        <v>662.0</v>
      </c>
      <c r="L340" s="2">
        <v>239.0</v>
      </c>
      <c r="M340" s="2">
        <v>220.0</v>
      </c>
      <c r="N340" s="2">
        <v>145.0</v>
      </c>
      <c r="O340" s="2">
        <v>350.0</v>
      </c>
      <c r="P340" s="2">
        <v>282.0</v>
      </c>
      <c r="Q340" s="2">
        <v>1.0</v>
      </c>
      <c r="R340" s="2">
        <v>7264.0</v>
      </c>
      <c r="S340" s="2">
        <v>3957.0</v>
      </c>
      <c r="T340" s="2">
        <v>3306.0</v>
      </c>
      <c r="U340" s="2">
        <v>3957.0</v>
      </c>
      <c r="V340" s="2">
        <v>0.0</v>
      </c>
      <c r="W340" s="2">
        <v>3306.0</v>
      </c>
    </row>
    <row r="341" ht="15.0" customHeight="1">
      <c r="A341" s="2">
        <v>2024.0</v>
      </c>
      <c r="B341" s="2" t="s">
        <v>55</v>
      </c>
      <c r="C341" s="2">
        <v>10.0</v>
      </c>
      <c r="D341" s="2" t="s">
        <v>56</v>
      </c>
      <c r="E341" s="2" t="s">
        <v>25</v>
      </c>
      <c r="F341" s="2" t="s">
        <v>48</v>
      </c>
      <c r="G341" s="2" t="s">
        <v>37</v>
      </c>
      <c r="H341" s="2" t="s">
        <v>35</v>
      </c>
      <c r="I341" s="2" t="s">
        <v>31</v>
      </c>
      <c r="J341" s="2">
        <v>99.0</v>
      </c>
      <c r="K341" s="2">
        <v>76.0</v>
      </c>
      <c r="L341" s="2">
        <v>40.0</v>
      </c>
      <c r="M341" s="2">
        <v>35.0</v>
      </c>
      <c r="N341" s="2">
        <v>27.0</v>
      </c>
      <c r="O341" s="2">
        <v>57.0</v>
      </c>
      <c r="P341" s="2">
        <v>37.0</v>
      </c>
      <c r="Q341" s="2">
        <v>0.0</v>
      </c>
      <c r="R341" s="2">
        <v>956.0</v>
      </c>
      <c r="S341" s="2">
        <v>0.0</v>
      </c>
      <c r="T341" s="2">
        <v>956.0</v>
      </c>
      <c r="U341" s="2">
        <v>0.0</v>
      </c>
      <c r="V341" s="2">
        <v>0.0</v>
      </c>
      <c r="W341" s="2">
        <v>956.0</v>
      </c>
    </row>
    <row r="342" ht="15.0" customHeight="1">
      <c r="A342" s="2">
        <v>2024.0</v>
      </c>
      <c r="B342" s="2" t="s">
        <v>55</v>
      </c>
      <c r="C342" s="2">
        <v>10.0</v>
      </c>
      <c r="D342" s="2" t="s">
        <v>56</v>
      </c>
      <c r="E342" s="2" t="s">
        <v>25</v>
      </c>
      <c r="F342" s="2" t="s">
        <v>48</v>
      </c>
      <c r="G342" s="2" t="s">
        <v>38</v>
      </c>
      <c r="H342" s="2" t="s">
        <v>35</v>
      </c>
      <c r="I342" s="2" t="s">
        <v>29</v>
      </c>
      <c r="J342" s="2">
        <v>3753.0</v>
      </c>
      <c r="K342" s="2">
        <v>2016.0</v>
      </c>
      <c r="L342" s="2">
        <v>992.0</v>
      </c>
      <c r="M342" s="2">
        <v>944.0</v>
      </c>
      <c r="N342" s="2">
        <v>544.0</v>
      </c>
      <c r="O342" s="2">
        <v>730.0</v>
      </c>
      <c r="P342" s="2">
        <v>556.0</v>
      </c>
      <c r="Q342" s="2">
        <v>126.0</v>
      </c>
      <c r="R342" s="2">
        <v>9900.0</v>
      </c>
      <c r="S342" s="2">
        <v>7099.0</v>
      </c>
      <c r="T342" s="2">
        <v>2801.0</v>
      </c>
      <c r="U342" s="2">
        <v>7015.0</v>
      </c>
      <c r="V342" s="2">
        <v>84.0</v>
      </c>
      <c r="W342" s="2">
        <v>2885.0</v>
      </c>
    </row>
    <row r="343" ht="15.0" customHeight="1">
      <c r="A343" s="2">
        <v>2024.0</v>
      </c>
      <c r="B343" s="2" t="s">
        <v>55</v>
      </c>
      <c r="C343" s="2">
        <v>10.0</v>
      </c>
      <c r="D343" s="2" t="s">
        <v>56</v>
      </c>
      <c r="E343" s="2" t="s">
        <v>25</v>
      </c>
      <c r="F343" s="2" t="s">
        <v>48</v>
      </c>
      <c r="G343" s="2" t="s">
        <v>38</v>
      </c>
      <c r="H343" s="2" t="s">
        <v>35</v>
      </c>
      <c r="I343" s="2" t="s">
        <v>30</v>
      </c>
      <c r="J343" s="2">
        <v>7092.0</v>
      </c>
      <c r="K343" s="2">
        <v>2582.0</v>
      </c>
      <c r="L343" s="2">
        <v>1708.0</v>
      </c>
      <c r="M343" s="2">
        <v>1637.0</v>
      </c>
      <c r="N343" s="2">
        <v>902.0</v>
      </c>
      <c r="O343" s="2">
        <v>1221.0</v>
      </c>
      <c r="P343" s="2">
        <v>946.0</v>
      </c>
      <c r="Q343" s="2">
        <v>275.0</v>
      </c>
      <c r="R343" s="2">
        <v>16950.0</v>
      </c>
      <c r="S343" s="2">
        <v>15114.0</v>
      </c>
      <c r="T343" s="2">
        <v>1835.0</v>
      </c>
      <c r="U343" s="2">
        <v>15114.0</v>
      </c>
      <c r="V343" s="2">
        <v>0.0</v>
      </c>
      <c r="W343" s="2">
        <v>1835.0</v>
      </c>
    </row>
    <row r="344" ht="15.0" customHeight="1">
      <c r="A344" s="2">
        <v>2024.0</v>
      </c>
      <c r="B344" s="2" t="s">
        <v>55</v>
      </c>
      <c r="C344" s="2">
        <v>10.0</v>
      </c>
      <c r="D344" s="2" t="s">
        <v>56</v>
      </c>
      <c r="E344" s="2" t="s">
        <v>25</v>
      </c>
      <c r="F344" s="2" t="s">
        <v>48</v>
      </c>
      <c r="G344" s="2" t="s">
        <v>38</v>
      </c>
      <c r="H344" s="2" t="s">
        <v>35</v>
      </c>
      <c r="I344" s="2" t="s">
        <v>31</v>
      </c>
      <c r="J344" s="2">
        <v>1049.0</v>
      </c>
      <c r="K344" s="2">
        <v>426.0</v>
      </c>
      <c r="L344" s="2">
        <v>310.0</v>
      </c>
      <c r="M344" s="2">
        <v>289.0</v>
      </c>
      <c r="N344" s="2">
        <v>157.0</v>
      </c>
      <c r="O344" s="2">
        <v>238.0</v>
      </c>
      <c r="P344" s="2">
        <v>190.0</v>
      </c>
      <c r="Q344" s="2">
        <v>48.0</v>
      </c>
      <c r="R344" s="2">
        <v>3315.0</v>
      </c>
      <c r="S344" s="2">
        <v>37.0</v>
      </c>
      <c r="T344" s="2">
        <v>3278.0</v>
      </c>
      <c r="U344" s="2">
        <v>37.0</v>
      </c>
      <c r="V344" s="2">
        <v>0.0</v>
      </c>
      <c r="W344" s="2">
        <v>3278.0</v>
      </c>
    </row>
    <row r="345" ht="15.0" customHeight="1">
      <c r="A345" s="2">
        <v>2024.0</v>
      </c>
      <c r="B345" s="2" t="s">
        <v>55</v>
      </c>
      <c r="C345" s="2">
        <v>10.0</v>
      </c>
      <c r="D345" s="2" t="s">
        <v>56</v>
      </c>
      <c r="E345" s="2" t="s">
        <v>25</v>
      </c>
      <c r="F345" s="2" t="s">
        <v>48</v>
      </c>
      <c r="G345" s="2" t="s">
        <v>39</v>
      </c>
      <c r="H345" s="2" t="s">
        <v>40</v>
      </c>
      <c r="I345" s="2" t="s">
        <v>29</v>
      </c>
      <c r="J345" s="2">
        <v>30104.0</v>
      </c>
      <c r="K345" s="2">
        <v>18682.0</v>
      </c>
      <c r="L345" s="2">
        <v>8590.0</v>
      </c>
      <c r="M345" s="2">
        <v>8182.0</v>
      </c>
      <c r="N345" s="2">
        <v>7615.0</v>
      </c>
      <c r="O345" s="2">
        <v>14697.0</v>
      </c>
      <c r="P345" s="2">
        <v>9890.0</v>
      </c>
      <c r="Q345" s="2">
        <v>11057.0</v>
      </c>
      <c r="R345" s="2">
        <v>94659.0</v>
      </c>
      <c r="S345" s="2">
        <v>68676.0</v>
      </c>
      <c r="T345" s="2">
        <v>25983.0</v>
      </c>
      <c r="U345" s="2">
        <v>68240.0</v>
      </c>
      <c r="V345" s="2">
        <v>437.0</v>
      </c>
      <c r="W345" s="2">
        <v>26419.0</v>
      </c>
    </row>
    <row r="346" ht="15.0" customHeight="1">
      <c r="A346" s="2">
        <v>2024.0</v>
      </c>
      <c r="B346" s="2" t="s">
        <v>55</v>
      </c>
      <c r="C346" s="2">
        <v>10.0</v>
      </c>
      <c r="D346" s="2" t="s">
        <v>56</v>
      </c>
      <c r="E346" s="2" t="s">
        <v>25</v>
      </c>
      <c r="F346" s="2" t="s">
        <v>48</v>
      </c>
      <c r="G346" s="2" t="s">
        <v>39</v>
      </c>
      <c r="H346" s="2" t="s">
        <v>40</v>
      </c>
      <c r="I346" s="2" t="s">
        <v>30</v>
      </c>
      <c r="J346" s="2">
        <v>5653.0</v>
      </c>
      <c r="K346" s="2">
        <v>2755.0</v>
      </c>
      <c r="L346" s="2">
        <v>1071.0</v>
      </c>
      <c r="M346" s="2">
        <v>1014.0</v>
      </c>
      <c r="N346" s="2">
        <v>917.0</v>
      </c>
      <c r="O346" s="2">
        <v>1714.0</v>
      </c>
      <c r="P346" s="2">
        <v>1129.0</v>
      </c>
      <c r="Q346" s="2">
        <v>1257.0</v>
      </c>
      <c r="R346" s="2">
        <v>10681.0</v>
      </c>
      <c r="S346" s="2">
        <v>7537.0</v>
      </c>
      <c r="T346" s="2">
        <v>3145.0</v>
      </c>
      <c r="U346" s="2">
        <v>7527.0</v>
      </c>
      <c r="V346" s="2">
        <v>10.0</v>
      </c>
      <c r="W346" s="2">
        <v>3155.0</v>
      </c>
    </row>
    <row r="347" ht="15.0" customHeight="1">
      <c r="A347" s="2">
        <v>2024.0</v>
      </c>
      <c r="B347" s="2" t="s">
        <v>55</v>
      </c>
      <c r="C347" s="2">
        <v>10.0</v>
      </c>
      <c r="D347" s="2" t="s">
        <v>56</v>
      </c>
      <c r="E347" s="2" t="s">
        <v>25</v>
      </c>
      <c r="F347" s="2" t="s">
        <v>48</v>
      </c>
      <c r="G347" s="2" t="s">
        <v>39</v>
      </c>
      <c r="H347" s="2" t="s">
        <v>40</v>
      </c>
      <c r="I347" s="2" t="s">
        <v>31</v>
      </c>
      <c r="J347" s="2">
        <v>3218.0</v>
      </c>
      <c r="K347" s="2">
        <v>2237.0</v>
      </c>
      <c r="L347" s="2">
        <v>1257.0</v>
      </c>
      <c r="M347" s="2">
        <v>1108.0</v>
      </c>
      <c r="N347" s="2">
        <v>1028.0</v>
      </c>
      <c r="O347" s="2">
        <v>2086.0</v>
      </c>
      <c r="P347" s="2">
        <v>1403.0</v>
      </c>
      <c r="Q347" s="2">
        <v>1524.0</v>
      </c>
      <c r="R347" s="2">
        <v>14267.0</v>
      </c>
      <c r="S347" s="2">
        <v>15.0</v>
      </c>
      <c r="T347" s="2">
        <v>14251.0</v>
      </c>
      <c r="U347" s="2">
        <v>15.0</v>
      </c>
      <c r="V347" s="2">
        <v>0.0</v>
      </c>
      <c r="W347" s="2">
        <v>14251.0</v>
      </c>
    </row>
    <row r="348" ht="15.0" customHeight="1">
      <c r="A348" s="2">
        <v>2024.0</v>
      </c>
      <c r="B348" s="2" t="s">
        <v>55</v>
      </c>
      <c r="C348" s="2">
        <v>10.0</v>
      </c>
      <c r="D348" s="2" t="s">
        <v>56</v>
      </c>
      <c r="E348" s="2" t="s">
        <v>25</v>
      </c>
      <c r="F348" s="2" t="s">
        <v>48</v>
      </c>
      <c r="G348" s="2" t="s">
        <v>41</v>
      </c>
      <c r="H348" s="2" t="s">
        <v>42</v>
      </c>
      <c r="I348" s="2" t="s">
        <v>29</v>
      </c>
      <c r="J348" s="2">
        <v>40874.0</v>
      </c>
      <c r="K348" s="2">
        <v>21193.0</v>
      </c>
      <c r="L348" s="2">
        <v>5141.0</v>
      </c>
      <c r="M348" s="2">
        <v>4612.0</v>
      </c>
      <c r="N348" s="2">
        <v>1883.0</v>
      </c>
      <c r="O348" s="2">
        <v>2592.0</v>
      </c>
      <c r="P348" s="2">
        <v>1928.0</v>
      </c>
      <c r="Q348" s="2">
        <v>6.0</v>
      </c>
      <c r="R348" s="2">
        <v>18859.0</v>
      </c>
      <c r="S348" s="2">
        <v>14263.0</v>
      </c>
      <c r="T348" s="2">
        <v>4596.0</v>
      </c>
      <c r="U348" s="2">
        <v>13230.0</v>
      </c>
      <c r="V348" s="2">
        <v>1033.0</v>
      </c>
      <c r="W348" s="2">
        <v>5629.0</v>
      </c>
    </row>
    <row r="349" ht="15.0" customHeight="1">
      <c r="A349" s="2">
        <v>2024.0</v>
      </c>
      <c r="B349" s="2" t="s">
        <v>55</v>
      </c>
      <c r="C349" s="2">
        <v>10.0</v>
      </c>
      <c r="D349" s="2" t="s">
        <v>56</v>
      </c>
      <c r="E349" s="2" t="s">
        <v>25</v>
      </c>
      <c r="F349" s="2" t="s">
        <v>48</v>
      </c>
      <c r="G349" s="2" t="s">
        <v>41</v>
      </c>
      <c r="H349" s="2" t="s">
        <v>42</v>
      </c>
      <c r="I349" s="2" t="s">
        <v>30</v>
      </c>
      <c r="J349" s="2">
        <v>8531.0</v>
      </c>
      <c r="K349" s="2">
        <v>4641.0</v>
      </c>
      <c r="L349" s="2">
        <v>2548.0</v>
      </c>
      <c r="M349" s="2">
        <v>2398.0</v>
      </c>
      <c r="N349" s="2">
        <v>1156.0</v>
      </c>
      <c r="O349" s="2">
        <v>1545.0</v>
      </c>
      <c r="P349" s="2">
        <v>1158.0</v>
      </c>
      <c r="Q349" s="2">
        <v>2.0</v>
      </c>
      <c r="R349" s="2">
        <v>10584.0</v>
      </c>
      <c r="S349" s="2">
        <v>9452.0</v>
      </c>
      <c r="T349" s="2">
        <v>1132.0</v>
      </c>
      <c r="U349" s="2">
        <v>9406.0</v>
      </c>
      <c r="V349" s="2">
        <v>47.0</v>
      </c>
      <c r="W349" s="2">
        <v>1179.0</v>
      </c>
    </row>
    <row r="350" ht="15.0" customHeight="1">
      <c r="A350" s="2">
        <v>2024.0</v>
      </c>
      <c r="B350" s="2" t="s">
        <v>55</v>
      </c>
      <c r="C350" s="2">
        <v>10.0</v>
      </c>
      <c r="D350" s="2" t="s">
        <v>56</v>
      </c>
      <c r="E350" s="2" t="s">
        <v>25</v>
      </c>
      <c r="F350" s="2" t="s">
        <v>48</v>
      </c>
      <c r="G350" s="2" t="s">
        <v>41</v>
      </c>
      <c r="H350" s="2" t="s">
        <v>42</v>
      </c>
      <c r="I350" s="2" t="s">
        <v>31</v>
      </c>
      <c r="J350" s="2">
        <v>12397.0</v>
      </c>
      <c r="K350" s="2">
        <v>8994.0</v>
      </c>
      <c r="L350" s="2">
        <v>7616.0</v>
      </c>
      <c r="M350" s="2">
        <v>6566.0</v>
      </c>
      <c r="N350" s="2">
        <v>1860.0</v>
      </c>
      <c r="O350" s="2">
        <v>2370.0</v>
      </c>
      <c r="P350" s="2">
        <v>1744.0</v>
      </c>
      <c r="Q350" s="2">
        <v>29.0</v>
      </c>
      <c r="R350" s="2">
        <v>18991.0</v>
      </c>
      <c r="S350" s="2">
        <v>324.0</v>
      </c>
      <c r="T350" s="2">
        <v>18667.0</v>
      </c>
      <c r="U350" s="2">
        <v>324.0</v>
      </c>
      <c r="V350" s="2">
        <v>0.0</v>
      </c>
      <c r="W350" s="2">
        <v>18667.0</v>
      </c>
    </row>
    <row r="351" ht="15.0" customHeight="1">
      <c r="A351" s="2">
        <v>2024.0</v>
      </c>
      <c r="B351" s="2" t="s">
        <v>55</v>
      </c>
      <c r="C351" s="2">
        <v>10.0</v>
      </c>
      <c r="D351" s="2" t="s">
        <v>56</v>
      </c>
      <c r="E351" s="2" t="s">
        <v>25</v>
      </c>
      <c r="F351" s="2" t="s">
        <v>48</v>
      </c>
      <c r="G351" s="2" t="s">
        <v>43</v>
      </c>
      <c r="H351" s="2" t="s">
        <v>42</v>
      </c>
      <c r="I351" s="2" t="s">
        <v>29</v>
      </c>
      <c r="J351" s="2">
        <v>26943.0</v>
      </c>
      <c r="K351" s="2">
        <v>12713.0</v>
      </c>
      <c r="L351" s="2">
        <v>4108.0</v>
      </c>
      <c r="M351" s="2">
        <v>3825.0</v>
      </c>
      <c r="N351" s="2">
        <v>2120.0</v>
      </c>
      <c r="O351" s="2">
        <v>4311.0</v>
      </c>
      <c r="P351" s="2">
        <v>3687.0</v>
      </c>
      <c r="Q351" s="2">
        <v>0.0</v>
      </c>
      <c r="R351" s="2">
        <v>117703.0</v>
      </c>
      <c r="S351" s="2">
        <v>95484.0</v>
      </c>
      <c r="T351" s="2">
        <v>22219.0</v>
      </c>
      <c r="U351" s="2">
        <v>91535.0</v>
      </c>
      <c r="V351" s="2">
        <v>3949.0</v>
      </c>
      <c r="W351" s="2">
        <v>26168.0</v>
      </c>
    </row>
    <row r="352" ht="15.0" customHeight="1">
      <c r="A352" s="2">
        <v>2024.0</v>
      </c>
      <c r="B352" s="2" t="s">
        <v>55</v>
      </c>
      <c r="C352" s="2">
        <v>10.0</v>
      </c>
      <c r="D352" s="2" t="s">
        <v>56</v>
      </c>
      <c r="E352" s="2" t="s">
        <v>25</v>
      </c>
      <c r="F352" s="2" t="s">
        <v>48</v>
      </c>
      <c r="G352" s="2" t="s">
        <v>43</v>
      </c>
      <c r="H352" s="2" t="s">
        <v>42</v>
      </c>
      <c r="I352" s="2" t="s">
        <v>30</v>
      </c>
      <c r="J352" s="2">
        <v>6542.0</v>
      </c>
      <c r="K352" s="2">
        <v>2222.0</v>
      </c>
      <c r="L352" s="2">
        <v>657.0</v>
      </c>
      <c r="M352" s="2">
        <v>616.0</v>
      </c>
      <c r="N352" s="2">
        <v>350.0</v>
      </c>
      <c r="O352" s="2">
        <v>825.0</v>
      </c>
      <c r="P352" s="2">
        <v>723.0</v>
      </c>
      <c r="Q352" s="2">
        <v>0.0</v>
      </c>
      <c r="R352" s="2">
        <v>25071.0</v>
      </c>
      <c r="S352" s="2">
        <v>16795.0</v>
      </c>
      <c r="T352" s="2">
        <v>8276.0</v>
      </c>
      <c r="U352" s="2">
        <v>16692.0</v>
      </c>
      <c r="V352" s="2">
        <v>102.0</v>
      </c>
      <c r="W352" s="2">
        <v>8379.0</v>
      </c>
    </row>
    <row r="353" ht="15.0" customHeight="1">
      <c r="A353" s="2">
        <v>2024.0</v>
      </c>
      <c r="B353" s="2" t="s">
        <v>55</v>
      </c>
      <c r="C353" s="2">
        <v>10.0</v>
      </c>
      <c r="D353" s="2" t="s">
        <v>56</v>
      </c>
      <c r="E353" s="2" t="s">
        <v>25</v>
      </c>
      <c r="F353" s="2" t="s">
        <v>48</v>
      </c>
      <c r="G353" s="2" t="s">
        <v>43</v>
      </c>
      <c r="H353" s="2" t="s">
        <v>42</v>
      </c>
      <c r="I353" s="2" t="s">
        <v>31</v>
      </c>
      <c r="J353" s="2">
        <v>854.0</v>
      </c>
      <c r="K353" s="2">
        <v>565.0</v>
      </c>
      <c r="L353" s="2">
        <v>328.0</v>
      </c>
      <c r="M353" s="2">
        <v>285.0</v>
      </c>
      <c r="N353" s="2">
        <v>168.0</v>
      </c>
      <c r="O353" s="2">
        <v>395.0</v>
      </c>
      <c r="P353" s="2">
        <v>346.0</v>
      </c>
      <c r="Q353" s="2">
        <v>0.0</v>
      </c>
      <c r="R353" s="2">
        <v>12082.0</v>
      </c>
      <c r="S353" s="2">
        <v>45.0</v>
      </c>
      <c r="T353" s="2">
        <v>12036.0</v>
      </c>
      <c r="U353" s="2">
        <v>45.0</v>
      </c>
      <c r="V353" s="2">
        <v>0.0</v>
      </c>
      <c r="W353" s="2">
        <v>12036.0</v>
      </c>
    </row>
    <row r="354" ht="15.0" customHeight="1">
      <c r="A354" s="2">
        <v>2024.0</v>
      </c>
      <c r="B354" s="2" t="s">
        <v>55</v>
      </c>
      <c r="C354" s="2">
        <v>10.0</v>
      </c>
      <c r="D354" s="2" t="s">
        <v>56</v>
      </c>
      <c r="E354" s="2" t="s">
        <v>25</v>
      </c>
      <c r="F354" s="2" t="s">
        <v>48</v>
      </c>
      <c r="G354" s="2" t="s">
        <v>44</v>
      </c>
      <c r="H354" s="2" t="s">
        <v>45</v>
      </c>
      <c r="I354" s="2" t="s">
        <v>29</v>
      </c>
      <c r="J354" s="2">
        <v>4220.0</v>
      </c>
      <c r="K354" s="2">
        <v>2329.0</v>
      </c>
      <c r="L354" s="2">
        <v>769.0</v>
      </c>
      <c r="M354" s="2">
        <v>730.0</v>
      </c>
      <c r="N354" s="2">
        <v>564.0</v>
      </c>
      <c r="O354" s="2">
        <v>985.0</v>
      </c>
      <c r="P354" s="2">
        <v>838.0</v>
      </c>
      <c r="Q354" s="2">
        <v>302.0</v>
      </c>
      <c r="R354" s="2">
        <v>22531.0</v>
      </c>
      <c r="S354" s="2">
        <v>18302.0</v>
      </c>
      <c r="T354" s="2">
        <v>4228.0</v>
      </c>
      <c r="U354" s="2">
        <v>18302.0</v>
      </c>
      <c r="V354" s="2">
        <v>0.0</v>
      </c>
      <c r="W354" s="2">
        <v>4228.0</v>
      </c>
    </row>
    <row r="355" ht="15.0" customHeight="1">
      <c r="A355" s="2">
        <v>2024.0</v>
      </c>
      <c r="B355" s="2" t="s">
        <v>55</v>
      </c>
      <c r="C355" s="2">
        <v>10.0</v>
      </c>
      <c r="D355" s="2" t="s">
        <v>56</v>
      </c>
      <c r="E355" s="2" t="s">
        <v>25</v>
      </c>
      <c r="F355" s="2" t="s">
        <v>48</v>
      </c>
      <c r="G355" s="2" t="s">
        <v>44</v>
      </c>
      <c r="H355" s="2" t="s">
        <v>45</v>
      </c>
      <c r="I355" s="2" t="s">
        <v>30</v>
      </c>
      <c r="J355" s="2">
        <v>5334.0</v>
      </c>
      <c r="K355" s="2">
        <v>2461.0</v>
      </c>
      <c r="L355" s="2">
        <v>653.0</v>
      </c>
      <c r="M355" s="2">
        <v>625.0</v>
      </c>
      <c r="N355" s="2">
        <v>442.0</v>
      </c>
      <c r="O355" s="2">
        <v>721.0</v>
      </c>
      <c r="P355" s="2">
        <v>609.0</v>
      </c>
      <c r="Q355" s="2">
        <v>220.0</v>
      </c>
      <c r="R355" s="2">
        <v>15182.0</v>
      </c>
      <c r="S355" s="2">
        <v>13271.0</v>
      </c>
      <c r="T355" s="2">
        <v>1911.0</v>
      </c>
      <c r="U355" s="2">
        <v>13271.0</v>
      </c>
      <c r="V355" s="2">
        <v>0.0</v>
      </c>
      <c r="W355" s="2">
        <v>1911.0</v>
      </c>
    </row>
    <row r="356" ht="15.0" customHeight="1">
      <c r="A356" s="2">
        <v>2024.0</v>
      </c>
      <c r="B356" s="2" t="s">
        <v>55</v>
      </c>
      <c r="C356" s="2">
        <v>10.0</v>
      </c>
      <c r="D356" s="2" t="s">
        <v>56</v>
      </c>
      <c r="E356" s="2" t="s">
        <v>25</v>
      </c>
      <c r="F356" s="2" t="s">
        <v>48</v>
      </c>
      <c r="G356" s="2" t="s">
        <v>44</v>
      </c>
      <c r="H356" s="2" t="s">
        <v>45</v>
      </c>
      <c r="I356" s="2" t="s">
        <v>31</v>
      </c>
      <c r="J356" s="2">
        <v>386.0</v>
      </c>
      <c r="K356" s="2">
        <v>244.0</v>
      </c>
      <c r="L356" s="2">
        <v>125.0</v>
      </c>
      <c r="M356" s="2">
        <v>97.0</v>
      </c>
      <c r="N356" s="2">
        <v>83.0</v>
      </c>
      <c r="O356" s="2">
        <v>167.0</v>
      </c>
      <c r="P356" s="2">
        <v>144.0</v>
      </c>
      <c r="Q356" s="2">
        <v>30.0</v>
      </c>
      <c r="R356" s="2">
        <v>3898.0</v>
      </c>
      <c r="S356" s="2">
        <v>46.0</v>
      </c>
      <c r="T356" s="2">
        <v>3852.0</v>
      </c>
      <c r="U356" s="2">
        <v>46.0</v>
      </c>
      <c r="V356" s="2">
        <v>0.0</v>
      </c>
      <c r="W356" s="2">
        <v>3852.0</v>
      </c>
    </row>
    <row r="357" ht="15.0" customHeight="1">
      <c r="A357" s="2">
        <v>2024.0</v>
      </c>
      <c r="B357" s="2" t="s">
        <v>55</v>
      </c>
      <c r="C357" s="2">
        <v>10.0</v>
      </c>
      <c r="D357" s="2" t="s">
        <v>56</v>
      </c>
      <c r="E357" s="2" t="s">
        <v>25</v>
      </c>
      <c r="F357" s="2" t="s">
        <v>48</v>
      </c>
      <c r="G357" s="2" t="s">
        <v>46</v>
      </c>
      <c r="H357" s="2" t="s">
        <v>47</v>
      </c>
      <c r="I357" s="2" t="s">
        <v>29</v>
      </c>
      <c r="J357" s="2">
        <v>17832.0</v>
      </c>
      <c r="K357" s="2">
        <v>8633.0</v>
      </c>
      <c r="L357" s="2">
        <v>3092.0</v>
      </c>
      <c r="M357" s="2">
        <v>2917.0</v>
      </c>
      <c r="N357" s="2">
        <v>2905.0</v>
      </c>
      <c r="O357" s="2">
        <v>7130.0</v>
      </c>
      <c r="P357" s="2">
        <v>6044.0</v>
      </c>
      <c r="Q357" s="2">
        <v>3410.0</v>
      </c>
      <c r="R357" s="2">
        <v>176278.0</v>
      </c>
      <c r="S357" s="2">
        <v>116157.0</v>
      </c>
      <c r="T357" s="2">
        <v>60121.0</v>
      </c>
      <c r="U357" s="2">
        <v>116157.0</v>
      </c>
      <c r="V357" s="2">
        <v>0.0</v>
      </c>
      <c r="W357" s="2">
        <v>60121.0</v>
      </c>
    </row>
    <row r="358" ht="15.0" customHeight="1">
      <c r="A358" s="2">
        <v>2024.0</v>
      </c>
      <c r="B358" s="2" t="s">
        <v>55</v>
      </c>
      <c r="C358" s="2">
        <v>10.0</v>
      </c>
      <c r="D358" s="2" t="s">
        <v>56</v>
      </c>
      <c r="E358" s="2" t="s">
        <v>25</v>
      </c>
      <c r="F358" s="2" t="s">
        <v>48</v>
      </c>
      <c r="G358" s="2" t="s">
        <v>46</v>
      </c>
      <c r="H358" s="2" t="s">
        <v>47</v>
      </c>
      <c r="I358" s="2" t="s">
        <v>30</v>
      </c>
      <c r="J358" s="2">
        <v>7286.0</v>
      </c>
      <c r="K358" s="2">
        <v>2164.0</v>
      </c>
      <c r="L358" s="2">
        <v>1049.0</v>
      </c>
      <c r="M358" s="2">
        <v>994.0</v>
      </c>
      <c r="N358" s="2">
        <v>994.0</v>
      </c>
      <c r="O358" s="2">
        <v>2269.0</v>
      </c>
      <c r="P358" s="2">
        <v>1908.0</v>
      </c>
      <c r="Q358" s="2">
        <v>1144.0</v>
      </c>
      <c r="R358" s="2">
        <v>51721.0</v>
      </c>
      <c r="S358" s="2">
        <v>35034.0</v>
      </c>
      <c r="T358" s="2">
        <v>16687.0</v>
      </c>
      <c r="U358" s="2">
        <v>35034.0</v>
      </c>
      <c r="V358" s="2">
        <v>0.0</v>
      </c>
      <c r="W358" s="2">
        <v>16687.0</v>
      </c>
    </row>
    <row r="359" ht="15.0" customHeight="1">
      <c r="A359" s="2">
        <v>2024.0</v>
      </c>
      <c r="B359" s="2" t="s">
        <v>55</v>
      </c>
      <c r="C359" s="2">
        <v>10.0</v>
      </c>
      <c r="D359" s="2" t="s">
        <v>56</v>
      </c>
      <c r="E359" s="2" t="s">
        <v>25</v>
      </c>
      <c r="F359" s="2" t="s">
        <v>48</v>
      </c>
      <c r="G359" s="2" t="s">
        <v>46</v>
      </c>
      <c r="H359" s="2" t="s">
        <v>47</v>
      </c>
      <c r="I359" s="2" t="s">
        <v>31</v>
      </c>
      <c r="J359" s="2">
        <v>1561.0</v>
      </c>
      <c r="K359" s="2">
        <v>697.0</v>
      </c>
      <c r="L359" s="2">
        <v>360.0</v>
      </c>
      <c r="M359" s="2">
        <v>280.0</v>
      </c>
      <c r="N359" s="2">
        <v>277.0</v>
      </c>
      <c r="O359" s="2">
        <v>635.0</v>
      </c>
      <c r="P359" s="2">
        <v>514.0</v>
      </c>
      <c r="Q359" s="2">
        <v>307.0</v>
      </c>
      <c r="R359" s="2">
        <v>14543.0</v>
      </c>
      <c r="S359" s="2">
        <v>187.0</v>
      </c>
      <c r="T359" s="2">
        <v>14355.0</v>
      </c>
      <c r="U359" s="2">
        <v>187.0</v>
      </c>
      <c r="V359" s="2">
        <v>0.0</v>
      </c>
      <c r="W359" s="2">
        <v>14355.0</v>
      </c>
    </row>
    <row r="360" ht="15.0" customHeight="1">
      <c r="A360" s="2">
        <v>2024.0</v>
      </c>
      <c r="B360" s="2" t="s">
        <v>57</v>
      </c>
      <c r="C360" s="2">
        <v>9.0</v>
      </c>
      <c r="D360" s="2" t="s">
        <v>58</v>
      </c>
      <c r="E360" s="2" t="s">
        <v>25</v>
      </c>
      <c r="F360" s="2" t="s">
        <v>26</v>
      </c>
      <c r="G360" s="2" t="s">
        <v>27</v>
      </c>
      <c r="H360" s="2" t="s">
        <v>28</v>
      </c>
      <c r="I360" s="2" t="s">
        <v>29</v>
      </c>
      <c r="J360" s="2">
        <v>6370.0</v>
      </c>
      <c r="K360" s="2">
        <v>3550.0</v>
      </c>
      <c r="L360" s="2">
        <v>974.0</v>
      </c>
      <c r="M360" s="2">
        <v>938.0</v>
      </c>
      <c r="N360" s="2">
        <v>787.0</v>
      </c>
      <c r="O360" s="2">
        <v>1625.0</v>
      </c>
      <c r="P360" s="2">
        <v>1428.0</v>
      </c>
      <c r="Q360" s="2">
        <v>216.0</v>
      </c>
      <c r="R360" s="2">
        <v>26431.0</v>
      </c>
      <c r="S360" s="2">
        <v>17834.0</v>
      </c>
      <c r="T360" s="2">
        <v>8596.0</v>
      </c>
      <c r="U360" s="2">
        <v>16868.0</v>
      </c>
      <c r="V360" s="2">
        <v>966.0</v>
      </c>
      <c r="W360" s="2">
        <v>9563.0</v>
      </c>
    </row>
    <row r="361" ht="15.0" customHeight="1">
      <c r="A361" s="2">
        <v>2024.0</v>
      </c>
      <c r="B361" s="2" t="s">
        <v>57</v>
      </c>
      <c r="C361" s="2">
        <v>9.0</v>
      </c>
      <c r="D361" s="2" t="s">
        <v>58</v>
      </c>
      <c r="E361" s="2" t="s">
        <v>25</v>
      </c>
      <c r="F361" s="2" t="s">
        <v>26</v>
      </c>
      <c r="G361" s="2" t="s">
        <v>27</v>
      </c>
      <c r="H361" s="2" t="s">
        <v>28</v>
      </c>
      <c r="I361" s="2" t="s">
        <v>30</v>
      </c>
      <c r="J361" s="2">
        <v>1686.0</v>
      </c>
      <c r="K361" s="2">
        <v>619.0</v>
      </c>
      <c r="L361" s="2">
        <v>161.0</v>
      </c>
      <c r="M361" s="2">
        <v>157.0</v>
      </c>
      <c r="N361" s="2">
        <v>131.0</v>
      </c>
      <c r="O361" s="2">
        <v>255.0</v>
      </c>
      <c r="P361" s="2">
        <v>222.0</v>
      </c>
      <c r="Q361" s="2">
        <v>34.0</v>
      </c>
      <c r="R361" s="2">
        <v>4272.0</v>
      </c>
      <c r="S361" s="2">
        <v>2025.0</v>
      </c>
      <c r="T361" s="2">
        <v>2247.0</v>
      </c>
      <c r="U361" s="2">
        <v>1984.0</v>
      </c>
      <c r="V361" s="2">
        <v>41.0</v>
      </c>
      <c r="W361" s="2">
        <v>2288.0</v>
      </c>
    </row>
    <row r="362" ht="15.0" customHeight="1">
      <c r="A362" s="2">
        <v>2024.0</v>
      </c>
      <c r="B362" s="2" t="s">
        <v>57</v>
      </c>
      <c r="C362" s="2">
        <v>9.0</v>
      </c>
      <c r="D362" s="2" t="s">
        <v>58</v>
      </c>
      <c r="E362" s="2" t="s">
        <v>25</v>
      </c>
      <c r="F362" s="2" t="s">
        <v>26</v>
      </c>
      <c r="G362" s="2" t="s">
        <v>27</v>
      </c>
      <c r="H362" s="2" t="s">
        <v>28</v>
      </c>
      <c r="I362" s="2" t="s">
        <v>31</v>
      </c>
      <c r="J362" s="2">
        <v>404.0</v>
      </c>
      <c r="K362" s="2">
        <v>234.0</v>
      </c>
      <c r="L362" s="2">
        <v>149.0</v>
      </c>
      <c r="M362" s="2">
        <v>137.0</v>
      </c>
      <c r="N362" s="2">
        <v>116.0</v>
      </c>
      <c r="O362" s="2">
        <v>240.0</v>
      </c>
      <c r="P362" s="2">
        <v>206.0</v>
      </c>
      <c r="Q362" s="2">
        <v>43.0</v>
      </c>
      <c r="R362" s="2">
        <v>3683.0</v>
      </c>
      <c r="S362" s="2">
        <v>475.0</v>
      </c>
      <c r="T362" s="2">
        <v>3208.0</v>
      </c>
      <c r="U362" s="2">
        <v>475.0</v>
      </c>
      <c r="V362" s="2">
        <v>0.0</v>
      </c>
      <c r="W362" s="2">
        <v>3208.0</v>
      </c>
    </row>
    <row r="363" ht="15.0" customHeight="1">
      <c r="A363" s="2">
        <v>2024.0</v>
      </c>
      <c r="B363" s="2" t="s">
        <v>57</v>
      </c>
      <c r="C363" s="2">
        <v>9.0</v>
      </c>
      <c r="D363" s="2" t="s">
        <v>58</v>
      </c>
      <c r="E363" s="2" t="s">
        <v>25</v>
      </c>
      <c r="F363" s="2" t="s">
        <v>26</v>
      </c>
      <c r="G363" s="2" t="s">
        <v>32</v>
      </c>
      <c r="H363" s="2" t="s">
        <v>28</v>
      </c>
      <c r="I363" s="2" t="s">
        <v>29</v>
      </c>
      <c r="J363" s="2">
        <v>16277.0</v>
      </c>
      <c r="K363" s="2">
        <v>9397.0</v>
      </c>
      <c r="L363" s="2">
        <v>4307.0</v>
      </c>
      <c r="M363" s="2">
        <v>4129.0</v>
      </c>
      <c r="N363" s="2">
        <v>3311.0</v>
      </c>
      <c r="O363" s="2">
        <v>4500.0</v>
      </c>
      <c r="P363" s="2">
        <v>3676.0</v>
      </c>
      <c r="Q363" s="2">
        <v>0.0</v>
      </c>
      <c r="R363" s="2">
        <v>28703.0</v>
      </c>
      <c r="S363" s="2">
        <v>18317.0</v>
      </c>
      <c r="T363" s="2">
        <v>10385.0</v>
      </c>
      <c r="U363" s="2">
        <v>17419.0</v>
      </c>
      <c r="V363" s="2">
        <v>899.0</v>
      </c>
      <c r="W363" s="2">
        <v>11284.0</v>
      </c>
    </row>
    <row r="364" ht="15.0" customHeight="1">
      <c r="A364" s="2">
        <v>2024.0</v>
      </c>
      <c r="B364" s="2" t="s">
        <v>57</v>
      </c>
      <c r="C364" s="2">
        <v>9.0</v>
      </c>
      <c r="D364" s="2" t="s">
        <v>58</v>
      </c>
      <c r="E364" s="2" t="s">
        <v>25</v>
      </c>
      <c r="F364" s="2" t="s">
        <v>26</v>
      </c>
      <c r="G364" s="2" t="s">
        <v>32</v>
      </c>
      <c r="H364" s="2" t="s">
        <v>28</v>
      </c>
      <c r="I364" s="2" t="s">
        <v>30</v>
      </c>
      <c r="J364" s="2">
        <v>2569.0</v>
      </c>
      <c r="K364" s="2">
        <v>900.0</v>
      </c>
      <c r="L364" s="2">
        <v>333.0</v>
      </c>
      <c r="M364" s="2">
        <v>319.0</v>
      </c>
      <c r="N364" s="2">
        <v>258.0</v>
      </c>
      <c r="O364" s="2">
        <v>359.0</v>
      </c>
      <c r="P364" s="2">
        <v>294.0</v>
      </c>
      <c r="Q364" s="2">
        <v>0.0</v>
      </c>
      <c r="R364" s="2">
        <v>2219.0</v>
      </c>
      <c r="S364" s="2">
        <v>1915.0</v>
      </c>
      <c r="T364" s="2">
        <v>303.0</v>
      </c>
      <c r="U364" s="2">
        <v>1883.0</v>
      </c>
      <c r="V364" s="2">
        <v>32.0</v>
      </c>
      <c r="W364" s="2">
        <v>335.0</v>
      </c>
    </row>
    <row r="365" ht="15.0" customHeight="1">
      <c r="A365" s="2">
        <v>2024.0</v>
      </c>
      <c r="B365" s="2" t="s">
        <v>57</v>
      </c>
      <c r="C365" s="2">
        <v>9.0</v>
      </c>
      <c r="D365" s="2" t="s">
        <v>58</v>
      </c>
      <c r="E365" s="2" t="s">
        <v>25</v>
      </c>
      <c r="F365" s="2" t="s">
        <v>26</v>
      </c>
      <c r="G365" s="2" t="s">
        <v>32</v>
      </c>
      <c r="H365" s="2" t="s">
        <v>28</v>
      </c>
      <c r="I365" s="2" t="s">
        <v>31</v>
      </c>
      <c r="J365" s="2">
        <v>6235.0</v>
      </c>
      <c r="K365" s="2">
        <v>3540.0</v>
      </c>
      <c r="L365" s="2">
        <v>2264.0</v>
      </c>
      <c r="M365" s="2">
        <v>2110.0</v>
      </c>
      <c r="N365" s="2">
        <v>1604.0</v>
      </c>
      <c r="O365" s="2">
        <v>2136.0</v>
      </c>
      <c r="P365" s="2">
        <v>1720.0</v>
      </c>
      <c r="Q365" s="2">
        <v>0.0</v>
      </c>
      <c r="R365" s="2">
        <v>13214.0</v>
      </c>
      <c r="S365" s="2">
        <v>857.0</v>
      </c>
      <c r="T365" s="2">
        <v>12357.0</v>
      </c>
      <c r="U365" s="2">
        <v>857.0</v>
      </c>
      <c r="V365" s="2">
        <v>0.0</v>
      </c>
      <c r="W365" s="2">
        <v>12357.0</v>
      </c>
    </row>
    <row r="366" ht="15.0" customHeight="1">
      <c r="A366" s="2">
        <v>2024.0</v>
      </c>
      <c r="B366" s="2" t="s">
        <v>57</v>
      </c>
      <c r="C366" s="2">
        <v>9.0</v>
      </c>
      <c r="D366" s="2" t="s">
        <v>58</v>
      </c>
      <c r="E366" s="2" t="s">
        <v>25</v>
      </c>
      <c r="F366" s="2" t="s">
        <v>26</v>
      </c>
      <c r="G366" s="2" t="s">
        <v>33</v>
      </c>
      <c r="H366" s="2" t="s">
        <v>28</v>
      </c>
      <c r="I366" s="2" t="s">
        <v>29</v>
      </c>
      <c r="J366" s="2">
        <v>12041.0</v>
      </c>
      <c r="K366" s="2">
        <v>7176.0</v>
      </c>
      <c r="L366" s="2">
        <v>3295.0</v>
      </c>
      <c r="M366" s="2">
        <v>3177.0</v>
      </c>
      <c r="N366" s="2">
        <v>1934.0</v>
      </c>
      <c r="O366" s="2">
        <v>2549.0</v>
      </c>
      <c r="P366" s="2">
        <v>2205.0</v>
      </c>
      <c r="Q366" s="2">
        <v>794.0</v>
      </c>
      <c r="R366" s="2">
        <v>22252.0</v>
      </c>
      <c r="S366" s="2">
        <v>15444.0</v>
      </c>
      <c r="T366" s="2">
        <v>6808.0</v>
      </c>
      <c r="U366" s="2">
        <v>15233.0</v>
      </c>
      <c r="V366" s="2">
        <v>211.0</v>
      </c>
      <c r="W366" s="2">
        <v>7019.0</v>
      </c>
    </row>
    <row r="367" ht="15.0" customHeight="1">
      <c r="A367" s="2">
        <v>2024.0</v>
      </c>
      <c r="B367" s="2" t="s">
        <v>57</v>
      </c>
      <c r="C367" s="2">
        <v>9.0</v>
      </c>
      <c r="D367" s="2" t="s">
        <v>58</v>
      </c>
      <c r="E367" s="2" t="s">
        <v>25</v>
      </c>
      <c r="F367" s="2" t="s">
        <v>26</v>
      </c>
      <c r="G367" s="2" t="s">
        <v>33</v>
      </c>
      <c r="H367" s="2" t="s">
        <v>28</v>
      </c>
      <c r="I367" s="2" t="s">
        <v>30</v>
      </c>
      <c r="J367" s="2">
        <v>2819.0</v>
      </c>
      <c r="K367" s="2">
        <v>1594.0</v>
      </c>
      <c r="L367" s="2">
        <v>742.0</v>
      </c>
      <c r="M367" s="2">
        <v>693.0</v>
      </c>
      <c r="N367" s="2">
        <v>377.0</v>
      </c>
      <c r="O367" s="2">
        <v>452.0</v>
      </c>
      <c r="P367" s="2">
        <v>395.0</v>
      </c>
      <c r="Q367" s="2">
        <v>58.0</v>
      </c>
      <c r="R367" s="2">
        <v>3438.0</v>
      </c>
      <c r="S367" s="2">
        <v>1405.0</v>
      </c>
      <c r="T367" s="2">
        <v>2033.0</v>
      </c>
      <c r="U367" s="2">
        <v>1405.0</v>
      </c>
      <c r="V367" s="2">
        <v>0.0</v>
      </c>
      <c r="W367" s="2">
        <v>2033.0</v>
      </c>
    </row>
    <row r="368" ht="15.0" customHeight="1">
      <c r="A368" s="2">
        <v>2024.0</v>
      </c>
      <c r="B368" s="2" t="s">
        <v>57</v>
      </c>
      <c r="C368" s="2">
        <v>9.0</v>
      </c>
      <c r="D368" s="2" t="s">
        <v>58</v>
      </c>
      <c r="E368" s="2" t="s">
        <v>25</v>
      </c>
      <c r="F368" s="2" t="s">
        <v>26</v>
      </c>
      <c r="G368" s="2" t="s">
        <v>33</v>
      </c>
      <c r="H368" s="2" t="s">
        <v>28</v>
      </c>
      <c r="I368" s="2" t="s">
        <v>31</v>
      </c>
      <c r="J368" s="2">
        <v>535.0</v>
      </c>
      <c r="K368" s="2">
        <v>214.0</v>
      </c>
      <c r="L368" s="2">
        <v>155.0</v>
      </c>
      <c r="M368" s="2">
        <v>143.0</v>
      </c>
      <c r="N368" s="2">
        <v>89.0</v>
      </c>
      <c r="O368" s="2">
        <v>115.0</v>
      </c>
      <c r="P368" s="2">
        <v>101.0</v>
      </c>
      <c r="Q368" s="2">
        <v>22.0</v>
      </c>
      <c r="R368" s="2">
        <v>979.0</v>
      </c>
      <c r="S368" s="2">
        <v>120.0</v>
      </c>
      <c r="T368" s="2">
        <v>858.0</v>
      </c>
      <c r="U368" s="2">
        <v>120.0</v>
      </c>
      <c r="V368" s="2">
        <v>0.0</v>
      </c>
      <c r="W368" s="2">
        <v>858.0</v>
      </c>
    </row>
    <row r="369" ht="15.0" customHeight="1">
      <c r="A369" s="2">
        <v>2024.0</v>
      </c>
      <c r="B369" s="2" t="s">
        <v>57</v>
      </c>
      <c r="C369" s="2">
        <v>9.0</v>
      </c>
      <c r="D369" s="2" t="s">
        <v>58</v>
      </c>
      <c r="E369" s="2" t="s">
        <v>25</v>
      </c>
      <c r="F369" s="2" t="s">
        <v>26</v>
      </c>
      <c r="G369" s="2" t="s">
        <v>34</v>
      </c>
      <c r="H369" s="2" t="s">
        <v>35</v>
      </c>
      <c r="I369" s="2" t="s">
        <v>29</v>
      </c>
      <c r="J369" s="2">
        <v>12284.0</v>
      </c>
      <c r="K369" s="2">
        <v>7906.0</v>
      </c>
      <c r="L369" s="2">
        <v>3913.0</v>
      </c>
      <c r="M369" s="2">
        <v>3766.0</v>
      </c>
      <c r="N369" s="2">
        <v>1350.0</v>
      </c>
      <c r="O369" s="2">
        <v>1741.0</v>
      </c>
      <c r="P369" s="2">
        <v>1247.0</v>
      </c>
      <c r="Q369" s="2">
        <v>1.0</v>
      </c>
      <c r="R369" s="2">
        <v>16540.0</v>
      </c>
      <c r="S369" s="2">
        <v>11707.0</v>
      </c>
      <c r="T369" s="2">
        <v>4832.0</v>
      </c>
      <c r="U369" s="2">
        <v>10801.0</v>
      </c>
      <c r="V369" s="2">
        <v>906.0</v>
      </c>
      <c r="W369" s="2">
        <v>5738.0</v>
      </c>
    </row>
    <row r="370" ht="15.0" customHeight="1">
      <c r="A370" s="2">
        <v>2024.0</v>
      </c>
      <c r="B370" s="2" t="s">
        <v>57</v>
      </c>
      <c r="C370" s="2">
        <v>9.0</v>
      </c>
      <c r="D370" s="2" t="s">
        <v>58</v>
      </c>
      <c r="E370" s="2" t="s">
        <v>25</v>
      </c>
      <c r="F370" s="2" t="s">
        <v>26</v>
      </c>
      <c r="G370" s="2" t="s">
        <v>34</v>
      </c>
      <c r="H370" s="2" t="s">
        <v>35</v>
      </c>
      <c r="I370" s="2" t="s">
        <v>30</v>
      </c>
      <c r="J370" s="2">
        <v>2280.0</v>
      </c>
      <c r="K370" s="2">
        <v>1252.0</v>
      </c>
      <c r="L370" s="2">
        <v>540.0</v>
      </c>
      <c r="M370" s="2">
        <v>522.0</v>
      </c>
      <c r="N370" s="2">
        <v>216.0</v>
      </c>
      <c r="O370" s="2">
        <v>296.0</v>
      </c>
      <c r="P370" s="2">
        <v>232.0</v>
      </c>
      <c r="Q370" s="2">
        <v>0.0</v>
      </c>
      <c r="R370" s="2">
        <v>3249.0</v>
      </c>
      <c r="S370" s="2">
        <v>861.0</v>
      </c>
      <c r="T370" s="2">
        <v>2388.0</v>
      </c>
      <c r="U370" s="2">
        <v>861.0</v>
      </c>
      <c r="V370" s="2">
        <v>0.0</v>
      </c>
      <c r="W370" s="2">
        <v>2388.0</v>
      </c>
    </row>
    <row r="371" ht="15.0" customHeight="1">
      <c r="A371" s="2">
        <v>2024.0</v>
      </c>
      <c r="B371" s="2" t="s">
        <v>57</v>
      </c>
      <c r="C371" s="2">
        <v>9.0</v>
      </c>
      <c r="D371" s="2" t="s">
        <v>58</v>
      </c>
      <c r="E371" s="2" t="s">
        <v>25</v>
      </c>
      <c r="F371" s="2" t="s">
        <v>26</v>
      </c>
      <c r="G371" s="2" t="s">
        <v>34</v>
      </c>
      <c r="H371" s="2" t="s">
        <v>35</v>
      </c>
      <c r="I371" s="2" t="s">
        <v>31</v>
      </c>
      <c r="J371" s="2">
        <v>1104.0</v>
      </c>
      <c r="K371" s="2">
        <v>600.0</v>
      </c>
      <c r="L371" s="2">
        <v>315.0</v>
      </c>
      <c r="M371" s="2">
        <v>282.0</v>
      </c>
      <c r="N371" s="2">
        <v>103.0</v>
      </c>
      <c r="O371" s="2">
        <v>142.0</v>
      </c>
      <c r="P371" s="2">
        <v>112.0</v>
      </c>
      <c r="Q371" s="2">
        <v>0.0</v>
      </c>
      <c r="R371" s="2">
        <v>1541.0</v>
      </c>
      <c r="S371" s="2">
        <v>5.0</v>
      </c>
      <c r="T371" s="2">
        <v>1536.0</v>
      </c>
      <c r="U371" s="2">
        <v>5.0</v>
      </c>
      <c r="V371" s="2">
        <v>0.0</v>
      </c>
      <c r="W371" s="2">
        <v>1536.0</v>
      </c>
    </row>
    <row r="372" ht="15.0" customHeight="1">
      <c r="A372" s="2">
        <v>2024.0</v>
      </c>
      <c r="B372" s="2" t="s">
        <v>57</v>
      </c>
      <c r="C372" s="2">
        <v>9.0</v>
      </c>
      <c r="D372" s="2" t="s">
        <v>58</v>
      </c>
      <c r="E372" s="2" t="s">
        <v>25</v>
      </c>
      <c r="F372" s="2" t="s">
        <v>26</v>
      </c>
      <c r="G372" s="2" t="s">
        <v>36</v>
      </c>
      <c r="H372" s="2" t="s">
        <v>35</v>
      </c>
      <c r="I372" s="2" t="s">
        <v>29</v>
      </c>
      <c r="J372" s="2">
        <v>7090.0</v>
      </c>
      <c r="K372" s="2">
        <v>5085.0</v>
      </c>
      <c r="L372" s="2">
        <v>2987.0</v>
      </c>
      <c r="M372" s="2">
        <v>2884.0</v>
      </c>
      <c r="N372" s="2">
        <v>1225.0</v>
      </c>
      <c r="O372" s="2">
        <v>1649.0</v>
      </c>
      <c r="P372" s="2">
        <v>1292.0</v>
      </c>
      <c r="Q372" s="2">
        <v>0.0</v>
      </c>
      <c r="R372" s="2">
        <v>13639.0</v>
      </c>
      <c r="S372" s="2">
        <v>4974.0</v>
      </c>
      <c r="T372" s="2">
        <v>8664.0</v>
      </c>
      <c r="U372" s="2">
        <v>4974.0</v>
      </c>
      <c r="V372" s="2">
        <v>0.0</v>
      </c>
      <c r="W372" s="2">
        <v>8664.0</v>
      </c>
    </row>
    <row r="373" ht="15.0" customHeight="1">
      <c r="A373" s="2">
        <v>2024.0</v>
      </c>
      <c r="B373" s="2" t="s">
        <v>57</v>
      </c>
      <c r="C373" s="2">
        <v>9.0</v>
      </c>
      <c r="D373" s="2" t="s">
        <v>58</v>
      </c>
      <c r="E373" s="2" t="s">
        <v>25</v>
      </c>
      <c r="F373" s="2" t="s">
        <v>26</v>
      </c>
      <c r="G373" s="2" t="s">
        <v>36</v>
      </c>
      <c r="H373" s="2" t="s">
        <v>35</v>
      </c>
      <c r="I373" s="2" t="s">
        <v>30</v>
      </c>
      <c r="J373" s="2">
        <v>588.0</v>
      </c>
      <c r="K373" s="2">
        <v>335.0</v>
      </c>
      <c r="L373" s="2">
        <v>214.0</v>
      </c>
      <c r="M373" s="2">
        <v>210.0</v>
      </c>
      <c r="N373" s="2">
        <v>99.0</v>
      </c>
      <c r="O373" s="2">
        <v>146.0</v>
      </c>
      <c r="P373" s="2">
        <v>117.0</v>
      </c>
      <c r="Q373" s="2">
        <v>1.0</v>
      </c>
      <c r="R373" s="2">
        <v>1250.0</v>
      </c>
      <c r="S373" s="2">
        <v>296.0</v>
      </c>
      <c r="T373" s="2">
        <v>954.0</v>
      </c>
      <c r="U373" s="2">
        <v>296.0</v>
      </c>
      <c r="V373" s="2">
        <v>0.0</v>
      </c>
      <c r="W373" s="2">
        <v>954.0</v>
      </c>
    </row>
    <row r="374" ht="15.0" customHeight="1">
      <c r="A374" s="2">
        <v>2024.0</v>
      </c>
      <c r="B374" s="2" t="s">
        <v>57</v>
      </c>
      <c r="C374" s="2">
        <v>9.0</v>
      </c>
      <c r="D374" s="2" t="s">
        <v>58</v>
      </c>
      <c r="E374" s="2" t="s">
        <v>25</v>
      </c>
      <c r="F374" s="2" t="s">
        <v>26</v>
      </c>
      <c r="G374" s="2" t="s">
        <v>36</v>
      </c>
      <c r="H374" s="2" t="s">
        <v>35</v>
      </c>
      <c r="I374" s="2" t="s">
        <v>31</v>
      </c>
      <c r="J374" s="2">
        <v>676.0</v>
      </c>
      <c r="K374" s="2">
        <v>453.0</v>
      </c>
      <c r="L374" s="2">
        <v>290.0</v>
      </c>
      <c r="M374" s="2">
        <v>266.0</v>
      </c>
      <c r="N374" s="2">
        <v>117.0</v>
      </c>
      <c r="O374" s="2">
        <v>165.0</v>
      </c>
      <c r="P374" s="2">
        <v>129.0</v>
      </c>
      <c r="Q374" s="2">
        <v>0.0</v>
      </c>
      <c r="R374" s="2">
        <v>1402.0</v>
      </c>
      <c r="S374" s="2">
        <v>0.0</v>
      </c>
      <c r="T374" s="2">
        <v>1402.0</v>
      </c>
      <c r="U374" s="2">
        <v>0.0</v>
      </c>
      <c r="V374" s="2">
        <v>0.0</v>
      </c>
      <c r="W374" s="2">
        <v>1402.0</v>
      </c>
    </row>
    <row r="375" ht="15.0" customHeight="1">
      <c r="A375" s="2">
        <v>2024.0</v>
      </c>
      <c r="B375" s="2" t="s">
        <v>57</v>
      </c>
      <c r="C375" s="2">
        <v>9.0</v>
      </c>
      <c r="D375" s="2" t="s">
        <v>58</v>
      </c>
      <c r="E375" s="2" t="s">
        <v>25</v>
      </c>
      <c r="F375" s="2" t="s">
        <v>26</v>
      </c>
      <c r="G375" s="2" t="s">
        <v>37</v>
      </c>
      <c r="H375" s="2" t="s">
        <v>35</v>
      </c>
      <c r="I375" s="2" t="s">
        <v>29</v>
      </c>
      <c r="J375" s="2">
        <v>1076.0</v>
      </c>
      <c r="K375" s="2">
        <v>579.0</v>
      </c>
      <c r="L375" s="2">
        <v>241.0</v>
      </c>
      <c r="M375" s="2">
        <v>228.0</v>
      </c>
      <c r="N375" s="2">
        <v>196.0</v>
      </c>
      <c r="O375" s="2">
        <v>555.0</v>
      </c>
      <c r="P375" s="2">
        <v>429.0</v>
      </c>
      <c r="Q375" s="2">
        <v>0.0</v>
      </c>
      <c r="R375" s="2">
        <v>9944.0</v>
      </c>
      <c r="S375" s="2">
        <v>4286.0</v>
      </c>
      <c r="T375" s="2">
        <v>5658.0</v>
      </c>
      <c r="U375" s="2">
        <v>4286.0</v>
      </c>
      <c r="V375" s="2">
        <v>0.0</v>
      </c>
      <c r="W375" s="2">
        <v>5658.0</v>
      </c>
    </row>
    <row r="376" ht="15.0" customHeight="1">
      <c r="A376" s="2">
        <v>2024.0</v>
      </c>
      <c r="B376" s="2" t="s">
        <v>57</v>
      </c>
      <c r="C376" s="2">
        <v>9.0</v>
      </c>
      <c r="D376" s="2" t="s">
        <v>58</v>
      </c>
      <c r="E376" s="2" t="s">
        <v>25</v>
      </c>
      <c r="F376" s="2" t="s">
        <v>26</v>
      </c>
      <c r="G376" s="2" t="s">
        <v>37</v>
      </c>
      <c r="H376" s="2" t="s">
        <v>35</v>
      </c>
      <c r="I376" s="2" t="s">
        <v>30</v>
      </c>
      <c r="J376" s="2">
        <v>1.0</v>
      </c>
      <c r="K376" s="2">
        <v>0.0</v>
      </c>
      <c r="L376" s="2">
        <v>0.0</v>
      </c>
      <c r="M376" s="2">
        <v>0.0</v>
      </c>
      <c r="N376" s="2">
        <v>0.0</v>
      </c>
      <c r="O376" s="2">
        <v>0.0</v>
      </c>
      <c r="P376" s="2">
        <v>0.0</v>
      </c>
      <c r="Q376" s="2">
        <v>0.0</v>
      </c>
      <c r="R376" s="2">
        <v>0.0</v>
      </c>
      <c r="S376" s="2">
        <v>0.0</v>
      </c>
      <c r="T376" s="2">
        <v>0.0</v>
      </c>
      <c r="U376" s="2">
        <v>0.0</v>
      </c>
      <c r="V376" s="2">
        <v>0.0</v>
      </c>
      <c r="W376" s="2">
        <v>0.0</v>
      </c>
    </row>
    <row r="377" ht="15.0" customHeight="1">
      <c r="A377" s="2">
        <v>2024.0</v>
      </c>
      <c r="B377" s="2" t="s">
        <v>57</v>
      </c>
      <c r="C377" s="2">
        <v>9.0</v>
      </c>
      <c r="D377" s="2" t="s">
        <v>58</v>
      </c>
      <c r="E377" s="2" t="s">
        <v>25</v>
      </c>
      <c r="F377" s="2" t="s">
        <v>26</v>
      </c>
      <c r="G377" s="2" t="s">
        <v>37</v>
      </c>
      <c r="H377" s="2" t="s">
        <v>35</v>
      </c>
      <c r="I377" s="2" t="s">
        <v>31</v>
      </c>
      <c r="J377" s="2">
        <v>32.0</v>
      </c>
      <c r="K377" s="2">
        <v>22.0</v>
      </c>
      <c r="L377" s="2">
        <v>10.0</v>
      </c>
      <c r="M377" s="2">
        <v>8.0</v>
      </c>
      <c r="N377" s="2">
        <v>8.0</v>
      </c>
      <c r="O377" s="2">
        <v>17.0</v>
      </c>
      <c r="P377" s="2">
        <v>14.0</v>
      </c>
      <c r="Q377" s="2">
        <v>0.0</v>
      </c>
      <c r="R377" s="2">
        <v>319.0</v>
      </c>
      <c r="S377" s="2">
        <v>0.0</v>
      </c>
      <c r="T377" s="2">
        <v>319.0</v>
      </c>
      <c r="U377" s="2">
        <v>0.0</v>
      </c>
      <c r="V377" s="2">
        <v>0.0</v>
      </c>
      <c r="W377" s="2">
        <v>319.0</v>
      </c>
    </row>
    <row r="378" ht="15.0" customHeight="1">
      <c r="A378" s="2">
        <v>2024.0</v>
      </c>
      <c r="B378" s="2" t="s">
        <v>57</v>
      </c>
      <c r="C378" s="2">
        <v>9.0</v>
      </c>
      <c r="D378" s="2" t="s">
        <v>58</v>
      </c>
      <c r="E378" s="2" t="s">
        <v>25</v>
      </c>
      <c r="F378" s="2" t="s">
        <v>26</v>
      </c>
      <c r="G378" s="2" t="s">
        <v>38</v>
      </c>
      <c r="H378" s="2" t="s">
        <v>35</v>
      </c>
      <c r="I378" s="2" t="s">
        <v>29</v>
      </c>
      <c r="J378" s="2">
        <v>3736.0</v>
      </c>
      <c r="K378" s="2">
        <v>2004.0</v>
      </c>
      <c r="L378" s="2">
        <v>1157.0</v>
      </c>
      <c r="M378" s="2">
        <v>1119.0</v>
      </c>
      <c r="N378" s="2">
        <v>742.0</v>
      </c>
      <c r="O378" s="2">
        <v>1184.0</v>
      </c>
      <c r="P378" s="2">
        <v>960.0</v>
      </c>
      <c r="Q378" s="2">
        <v>93.0</v>
      </c>
      <c r="R378" s="2">
        <v>13204.0</v>
      </c>
      <c r="S378" s="2">
        <v>6294.0</v>
      </c>
      <c r="T378" s="2">
        <v>6910.0</v>
      </c>
      <c r="U378" s="2">
        <v>6149.0</v>
      </c>
      <c r="V378" s="2">
        <v>145.0</v>
      </c>
      <c r="W378" s="2">
        <v>7055.0</v>
      </c>
    </row>
    <row r="379" ht="15.0" customHeight="1">
      <c r="A379" s="2">
        <v>2024.0</v>
      </c>
      <c r="B379" s="2" t="s">
        <v>57</v>
      </c>
      <c r="C379" s="2">
        <v>9.0</v>
      </c>
      <c r="D379" s="2" t="s">
        <v>58</v>
      </c>
      <c r="E379" s="2" t="s">
        <v>25</v>
      </c>
      <c r="F379" s="2" t="s">
        <v>26</v>
      </c>
      <c r="G379" s="2" t="s">
        <v>38</v>
      </c>
      <c r="H379" s="2" t="s">
        <v>35</v>
      </c>
      <c r="I379" s="2" t="s">
        <v>30</v>
      </c>
      <c r="J379" s="2">
        <v>4017.0</v>
      </c>
      <c r="K379" s="2">
        <v>1575.0</v>
      </c>
      <c r="L379" s="2">
        <v>935.0</v>
      </c>
      <c r="M379" s="2">
        <v>920.0</v>
      </c>
      <c r="N379" s="2">
        <v>588.0</v>
      </c>
      <c r="O379" s="2">
        <v>890.0</v>
      </c>
      <c r="P379" s="2">
        <v>689.0</v>
      </c>
      <c r="Q379" s="2">
        <v>71.0</v>
      </c>
      <c r="R379" s="2">
        <v>9325.0</v>
      </c>
      <c r="S379" s="2">
        <v>8983.0</v>
      </c>
      <c r="T379" s="2">
        <v>342.0</v>
      </c>
      <c r="U379" s="2">
        <v>8980.0</v>
      </c>
      <c r="V379" s="2">
        <v>3.0</v>
      </c>
      <c r="W379" s="2">
        <v>345.0</v>
      </c>
    </row>
    <row r="380" ht="15.0" customHeight="1">
      <c r="A380" s="2">
        <v>2024.0</v>
      </c>
      <c r="B380" s="2" t="s">
        <v>57</v>
      </c>
      <c r="C380" s="2">
        <v>9.0</v>
      </c>
      <c r="D380" s="2" t="s">
        <v>58</v>
      </c>
      <c r="E380" s="2" t="s">
        <v>25</v>
      </c>
      <c r="F380" s="2" t="s">
        <v>26</v>
      </c>
      <c r="G380" s="2" t="s">
        <v>38</v>
      </c>
      <c r="H380" s="2" t="s">
        <v>35</v>
      </c>
      <c r="I380" s="2" t="s">
        <v>31</v>
      </c>
      <c r="J380" s="2">
        <v>664.0</v>
      </c>
      <c r="K380" s="2">
        <v>363.0</v>
      </c>
      <c r="L380" s="2">
        <v>228.0</v>
      </c>
      <c r="M380" s="2">
        <v>208.0</v>
      </c>
      <c r="N380" s="2">
        <v>141.0</v>
      </c>
      <c r="O380" s="2">
        <v>210.0</v>
      </c>
      <c r="P380" s="2">
        <v>164.0</v>
      </c>
      <c r="Q380" s="2">
        <v>17.0</v>
      </c>
      <c r="R380" s="2">
        <v>2230.0</v>
      </c>
      <c r="S380" s="2">
        <v>0.0</v>
      </c>
      <c r="T380" s="2">
        <v>2230.0</v>
      </c>
      <c r="U380" s="2">
        <v>0.0</v>
      </c>
      <c r="V380" s="2">
        <v>0.0</v>
      </c>
      <c r="W380" s="2">
        <v>2230.0</v>
      </c>
    </row>
    <row r="381" ht="15.0" customHeight="1">
      <c r="A381" s="2">
        <v>2024.0</v>
      </c>
      <c r="B381" s="2" t="s">
        <v>57</v>
      </c>
      <c r="C381" s="2">
        <v>9.0</v>
      </c>
      <c r="D381" s="2" t="s">
        <v>58</v>
      </c>
      <c r="E381" s="2" t="s">
        <v>25</v>
      </c>
      <c r="F381" s="2" t="s">
        <v>26</v>
      </c>
      <c r="G381" s="2" t="s">
        <v>39</v>
      </c>
      <c r="H381" s="2" t="s">
        <v>40</v>
      </c>
      <c r="I381" s="2" t="s">
        <v>29</v>
      </c>
      <c r="J381" s="2">
        <v>11538.0</v>
      </c>
      <c r="K381" s="2">
        <v>7612.0</v>
      </c>
      <c r="L381" s="2">
        <v>4268.0</v>
      </c>
      <c r="M381" s="2">
        <v>4034.0</v>
      </c>
      <c r="N381" s="2">
        <v>1689.0</v>
      </c>
      <c r="O381" s="2">
        <v>2174.0</v>
      </c>
      <c r="P381" s="2">
        <v>1613.0</v>
      </c>
      <c r="Q381" s="2">
        <v>0.0</v>
      </c>
      <c r="R381" s="2">
        <v>21827.0</v>
      </c>
      <c r="S381" s="2">
        <v>11845.0</v>
      </c>
      <c r="T381" s="2">
        <v>9982.0</v>
      </c>
      <c r="U381" s="2">
        <v>11845.0</v>
      </c>
      <c r="V381" s="2">
        <v>0.0</v>
      </c>
      <c r="W381" s="2">
        <v>9982.0</v>
      </c>
    </row>
    <row r="382" ht="15.0" customHeight="1">
      <c r="A382" s="2">
        <v>2024.0</v>
      </c>
      <c r="B382" s="2" t="s">
        <v>57</v>
      </c>
      <c r="C382" s="2">
        <v>9.0</v>
      </c>
      <c r="D382" s="2" t="s">
        <v>58</v>
      </c>
      <c r="E382" s="2" t="s">
        <v>25</v>
      </c>
      <c r="F382" s="2" t="s">
        <v>26</v>
      </c>
      <c r="G382" s="2" t="s">
        <v>39</v>
      </c>
      <c r="H382" s="2" t="s">
        <v>40</v>
      </c>
      <c r="I382" s="2" t="s">
        <v>30</v>
      </c>
      <c r="J382" s="2">
        <v>1569.0</v>
      </c>
      <c r="K382" s="2">
        <v>766.0</v>
      </c>
      <c r="L382" s="2">
        <v>282.0</v>
      </c>
      <c r="M382" s="2">
        <v>268.0</v>
      </c>
      <c r="N382" s="2">
        <v>101.0</v>
      </c>
      <c r="O382" s="2">
        <v>141.0</v>
      </c>
      <c r="P382" s="2">
        <v>103.0</v>
      </c>
      <c r="Q382" s="2">
        <v>0.0</v>
      </c>
      <c r="R382" s="2">
        <v>1310.0</v>
      </c>
      <c r="S382" s="2">
        <v>799.0</v>
      </c>
      <c r="T382" s="2">
        <v>511.0</v>
      </c>
      <c r="U382" s="2">
        <v>780.0</v>
      </c>
      <c r="V382" s="2">
        <v>19.0</v>
      </c>
      <c r="W382" s="2">
        <v>530.0</v>
      </c>
    </row>
    <row r="383" ht="15.0" customHeight="1">
      <c r="A383" s="2">
        <v>2024.0</v>
      </c>
      <c r="B383" s="2" t="s">
        <v>57</v>
      </c>
      <c r="C383" s="2">
        <v>9.0</v>
      </c>
      <c r="D383" s="2" t="s">
        <v>58</v>
      </c>
      <c r="E383" s="2" t="s">
        <v>25</v>
      </c>
      <c r="F383" s="2" t="s">
        <v>26</v>
      </c>
      <c r="G383" s="2" t="s">
        <v>39</v>
      </c>
      <c r="H383" s="2" t="s">
        <v>40</v>
      </c>
      <c r="I383" s="2" t="s">
        <v>31</v>
      </c>
      <c r="J383" s="2">
        <v>3086.0</v>
      </c>
      <c r="K383" s="2">
        <v>2121.0</v>
      </c>
      <c r="L383" s="2">
        <v>1040.0</v>
      </c>
      <c r="M383" s="2">
        <v>917.0</v>
      </c>
      <c r="N383" s="2">
        <v>357.0</v>
      </c>
      <c r="O383" s="2">
        <v>469.0</v>
      </c>
      <c r="P383" s="2">
        <v>346.0</v>
      </c>
      <c r="Q383" s="2">
        <v>0.0</v>
      </c>
      <c r="R383" s="2">
        <v>4634.0</v>
      </c>
      <c r="S383" s="2">
        <v>0.0</v>
      </c>
      <c r="T383" s="2">
        <v>4634.0</v>
      </c>
      <c r="U383" s="2">
        <v>0.0</v>
      </c>
      <c r="V383" s="2">
        <v>0.0</v>
      </c>
      <c r="W383" s="2">
        <v>4634.0</v>
      </c>
    </row>
    <row r="384" ht="15.0" customHeight="1">
      <c r="A384" s="2">
        <v>2024.0</v>
      </c>
      <c r="B384" s="2" t="s">
        <v>57</v>
      </c>
      <c r="C384" s="2">
        <v>9.0</v>
      </c>
      <c r="D384" s="2" t="s">
        <v>58</v>
      </c>
      <c r="E384" s="2" t="s">
        <v>25</v>
      </c>
      <c r="F384" s="2" t="s">
        <v>26</v>
      </c>
      <c r="G384" s="2" t="s">
        <v>41</v>
      </c>
      <c r="H384" s="2" t="s">
        <v>42</v>
      </c>
      <c r="I384" s="2" t="s">
        <v>29</v>
      </c>
      <c r="J384" s="2">
        <v>27255.0</v>
      </c>
      <c r="K384" s="2">
        <v>16372.0</v>
      </c>
      <c r="L384" s="2">
        <v>8491.0</v>
      </c>
      <c r="M384" s="2">
        <v>8077.0</v>
      </c>
      <c r="N384" s="2">
        <v>4693.0</v>
      </c>
      <c r="O384" s="2">
        <v>5758.0</v>
      </c>
      <c r="P384" s="2">
        <v>4659.0</v>
      </c>
      <c r="Q384" s="2">
        <v>8.0</v>
      </c>
      <c r="R384" s="2">
        <v>37531.0</v>
      </c>
      <c r="S384" s="2">
        <v>24101.0</v>
      </c>
      <c r="T384" s="2">
        <v>13430.0</v>
      </c>
      <c r="U384" s="2">
        <v>22331.0</v>
      </c>
      <c r="V384" s="2">
        <v>1770.0</v>
      </c>
      <c r="W384" s="2">
        <v>15200.0</v>
      </c>
    </row>
    <row r="385" ht="15.0" customHeight="1">
      <c r="A385" s="2">
        <v>2024.0</v>
      </c>
      <c r="B385" s="2" t="s">
        <v>57</v>
      </c>
      <c r="C385" s="2">
        <v>9.0</v>
      </c>
      <c r="D385" s="2" t="s">
        <v>58</v>
      </c>
      <c r="E385" s="2" t="s">
        <v>25</v>
      </c>
      <c r="F385" s="2" t="s">
        <v>26</v>
      </c>
      <c r="G385" s="2" t="s">
        <v>41</v>
      </c>
      <c r="H385" s="2" t="s">
        <v>42</v>
      </c>
      <c r="I385" s="2" t="s">
        <v>30</v>
      </c>
      <c r="J385" s="2">
        <v>10875.0</v>
      </c>
      <c r="K385" s="2">
        <v>5255.0</v>
      </c>
      <c r="L385" s="2">
        <v>2696.0</v>
      </c>
      <c r="M385" s="2">
        <v>2561.0</v>
      </c>
      <c r="N385" s="2">
        <v>1371.0</v>
      </c>
      <c r="O385" s="2">
        <v>1663.0</v>
      </c>
      <c r="P385" s="2">
        <v>1326.0</v>
      </c>
      <c r="Q385" s="2">
        <v>0.0</v>
      </c>
      <c r="R385" s="2">
        <v>10346.0</v>
      </c>
      <c r="S385" s="2">
        <v>8619.0</v>
      </c>
      <c r="T385" s="2">
        <v>1727.0</v>
      </c>
      <c r="U385" s="2">
        <v>8564.0</v>
      </c>
      <c r="V385" s="2">
        <v>55.0</v>
      </c>
      <c r="W385" s="2">
        <v>1782.0</v>
      </c>
    </row>
    <row r="386" ht="15.0" customHeight="1">
      <c r="A386" s="2">
        <v>2024.0</v>
      </c>
      <c r="B386" s="2" t="s">
        <v>57</v>
      </c>
      <c r="C386" s="2">
        <v>9.0</v>
      </c>
      <c r="D386" s="2" t="s">
        <v>58</v>
      </c>
      <c r="E386" s="2" t="s">
        <v>25</v>
      </c>
      <c r="F386" s="2" t="s">
        <v>26</v>
      </c>
      <c r="G386" s="2" t="s">
        <v>41</v>
      </c>
      <c r="H386" s="2" t="s">
        <v>42</v>
      </c>
      <c r="I386" s="2" t="s">
        <v>31</v>
      </c>
      <c r="J386" s="2">
        <v>13857.0</v>
      </c>
      <c r="K386" s="2">
        <v>8686.0</v>
      </c>
      <c r="L386" s="2">
        <v>6326.0</v>
      </c>
      <c r="M386" s="2">
        <v>5766.0</v>
      </c>
      <c r="N386" s="2">
        <v>2994.0</v>
      </c>
      <c r="O386" s="2">
        <v>3723.0</v>
      </c>
      <c r="P386" s="2">
        <v>2982.0</v>
      </c>
      <c r="Q386" s="2">
        <v>3.0</v>
      </c>
      <c r="R386" s="2">
        <v>23979.0</v>
      </c>
      <c r="S386" s="2">
        <v>352.0</v>
      </c>
      <c r="T386" s="2">
        <v>23627.0</v>
      </c>
      <c r="U386" s="2">
        <v>352.0</v>
      </c>
      <c r="V386" s="2">
        <v>0.0</v>
      </c>
      <c r="W386" s="2">
        <v>23627.0</v>
      </c>
    </row>
    <row r="387" ht="15.0" customHeight="1">
      <c r="A387" s="2">
        <v>2024.0</v>
      </c>
      <c r="B387" s="2" t="s">
        <v>57</v>
      </c>
      <c r="C387" s="2">
        <v>9.0</v>
      </c>
      <c r="D387" s="2" t="s">
        <v>58</v>
      </c>
      <c r="E387" s="2" t="s">
        <v>25</v>
      </c>
      <c r="F387" s="2" t="s">
        <v>26</v>
      </c>
      <c r="G387" s="2" t="s">
        <v>43</v>
      </c>
      <c r="H387" s="2" t="s">
        <v>42</v>
      </c>
      <c r="I387" s="2" t="s">
        <v>29</v>
      </c>
      <c r="J387" s="2">
        <v>4887.0</v>
      </c>
      <c r="K387" s="2">
        <v>2329.0</v>
      </c>
      <c r="L387" s="2">
        <v>1276.0</v>
      </c>
      <c r="M387" s="2">
        <v>1188.0</v>
      </c>
      <c r="N387" s="2">
        <v>363.0</v>
      </c>
      <c r="O387" s="2">
        <v>846.0</v>
      </c>
      <c r="P387" s="2">
        <v>663.0</v>
      </c>
      <c r="Q387" s="2">
        <v>0.0</v>
      </c>
      <c r="R387" s="2">
        <v>19970.0</v>
      </c>
      <c r="S387" s="2">
        <v>11876.0</v>
      </c>
      <c r="T387" s="2">
        <v>8094.0</v>
      </c>
      <c r="U387" s="2">
        <v>10896.0</v>
      </c>
      <c r="V387" s="2">
        <v>981.0</v>
      </c>
      <c r="W387" s="2">
        <v>9074.0</v>
      </c>
    </row>
    <row r="388" ht="15.0" customHeight="1">
      <c r="A388" s="2">
        <v>2024.0</v>
      </c>
      <c r="B388" s="2" t="s">
        <v>57</v>
      </c>
      <c r="C388" s="2">
        <v>9.0</v>
      </c>
      <c r="D388" s="2" t="s">
        <v>58</v>
      </c>
      <c r="E388" s="2" t="s">
        <v>25</v>
      </c>
      <c r="F388" s="2" t="s">
        <v>26</v>
      </c>
      <c r="G388" s="2" t="s">
        <v>43</v>
      </c>
      <c r="H388" s="2" t="s">
        <v>42</v>
      </c>
      <c r="I388" s="2" t="s">
        <v>30</v>
      </c>
      <c r="J388" s="2">
        <v>918.0</v>
      </c>
      <c r="K388" s="2">
        <v>277.0</v>
      </c>
      <c r="L388" s="2">
        <v>127.0</v>
      </c>
      <c r="M388" s="2">
        <v>115.0</v>
      </c>
      <c r="N388" s="2">
        <v>42.0</v>
      </c>
      <c r="O388" s="2">
        <v>105.0</v>
      </c>
      <c r="P388" s="2">
        <v>78.0</v>
      </c>
      <c r="Q388" s="2">
        <v>0.0</v>
      </c>
      <c r="R388" s="2">
        <v>2406.0</v>
      </c>
      <c r="S388" s="2">
        <v>1493.0</v>
      </c>
      <c r="T388" s="2">
        <v>913.0</v>
      </c>
      <c r="U388" s="2">
        <v>1493.0</v>
      </c>
      <c r="V388" s="2">
        <v>0.0</v>
      </c>
      <c r="W388" s="2">
        <v>913.0</v>
      </c>
    </row>
    <row r="389" ht="15.0" customHeight="1">
      <c r="A389" s="2">
        <v>2024.0</v>
      </c>
      <c r="B389" s="2" t="s">
        <v>57</v>
      </c>
      <c r="C389" s="2">
        <v>9.0</v>
      </c>
      <c r="D389" s="2" t="s">
        <v>58</v>
      </c>
      <c r="E389" s="2" t="s">
        <v>25</v>
      </c>
      <c r="F389" s="2" t="s">
        <v>26</v>
      </c>
      <c r="G389" s="2" t="s">
        <v>43</v>
      </c>
      <c r="H389" s="2" t="s">
        <v>42</v>
      </c>
      <c r="I389" s="2" t="s">
        <v>31</v>
      </c>
      <c r="J389" s="2">
        <v>275.0</v>
      </c>
      <c r="K389" s="2">
        <v>190.0</v>
      </c>
      <c r="L389" s="2">
        <v>113.0</v>
      </c>
      <c r="M389" s="2">
        <v>89.0</v>
      </c>
      <c r="N389" s="2">
        <v>31.0</v>
      </c>
      <c r="O389" s="2">
        <v>78.0</v>
      </c>
      <c r="P389" s="2">
        <v>62.0</v>
      </c>
      <c r="Q389" s="2">
        <v>0.0</v>
      </c>
      <c r="R389" s="2">
        <v>1877.0</v>
      </c>
      <c r="S389" s="2">
        <v>0.0</v>
      </c>
      <c r="T389" s="2">
        <v>1877.0</v>
      </c>
      <c r="U389" s="2">
        <v>0.0</v>
      </c>
      <c r="V389" s="2">
        <v>0.0</v>
      </c>
      <c r="W389" s="2">
        <v>1877.0</v>
      </c>
    </row>
    <row r="390" ht="15.0" customHeight="1">
      <c r="A390" s="2">
        <v>2024.0</v>
      </c>
      <c r="B390" s="2" t="s">
        <v>57</v>
      </c>
      <c r="C390" s="2">
        <v>9.0</v>
      </c>
      <c r="D390" s="2" t="s">
        <v>58</v>
      </c>
      <c r="E390" s="2" t="s">
        <v>25</v>
      </c>
      <c r="F390" s="2" t="s">
        <v>26</v>
      </c>
      <c r="G390" s="2" t="s">
        <v>44</v>
      </c>
      <c r="H390" s="2" t="s">
        <v>45</v>
      </c>
      <c r="I390" s="2" t="s">
        <v>29</v>
      </c>
      <c r="J390" s="2">
        <v>5311.0</v>
      </c>
      <c r="K390" s="2">
        <v>3046.0</v>
      </c>
      <c r="L390" s="2">
        <v>1131.0</v>
      </c>
      <c r="M390" s="2">
        <v>1074.0</v>
      </c>
      <c r="N390" s="2">
        <v>895.0</v>
      </c>
      <c r="O390" s="2">
        <v>1871.0</v>
      </c>
      <c r="P390" s="2">
        <v>1563.0</v>
      </c>
      <c r="Q390" s="2">
        <v>696.0</v>
      </c>
      <c r="R390" s="2">
        <v>43770.0</v>
      </c>
      <c r="S390" s="2">
        <v>30432.0</v>
      </c>
      <c r="T390" s="2">
        <v>13338.0</v>
      </c>
      <c r="U390" s="2">
        <v>29421.0</v>
      </c>
      <c r="V390" s="2">
        <v>1012.0</v>
      </c>
      <c r="W390" s="2">
        <v>14349.0</v>
      </c>
    </row>
    <row r="391" ht="15.0" customHeight="1">
      <c r="A391" s="2">
        <v>2024.0</v>
      </c>
      <c r="B391" s="2" t="s">
        <v>57</v>
      </c>
      <c r="C391" s="2">
        <v>9.0</v>
      </c>
      <c r="D391" s="2" t="s">
        <v>58</v>
      </c>
      <c r="E391" s="2" t="s">
        <v>25</v>
      </c>
      <c r="F391" s="2" t="s">
        <v>26</v>
      </c>
      <c r="G391" s="2" t="s">
        <v>44</v>
      </c>
      <c r="H391" s="2" t="s">
        <v>45</v>
      </c>
      <c r="I391" s="2" t="s">
        <v>30</v>
      </c>
      <c r="J391" s="2">
        <v>2169.0</v>
      </c>
      <c r="K391" s="2">
        <v>844.0</v>
      </c>
      <c r="L391" s="2">
        <v>263.0</v>
      </c>
      <c r="M391" s="2">
        <v>241.0</v>
      </c>
      <c r="N391" s="2">
        <v>187.0</v>
      </c>
      <c r="O391" s="2">
        <v>354.0</v>
      </c>
      <c r="P391" s="2">
        <v>304.0</v>
      </c>
      <c r="Q391" s="2">
        <v>123.0</v>
      </c>
      <c r="R391" s="2">
        <v>8565.0</v>
      </c>
      <c r="S391" s="2">
        <v>7216.0</v>
      </c>
      <c r="T391" s="2">
        <v>1348.0</v>
      </c>
      <c r="U391" s="2">
        <v>7194.0</v>
      </c>
      <c r="V391" s="2">
        <v>22.0</v>
      </c>
      <c r="W391" s="2">
        <v>1370.0</v>
      </c>
    </row>
    <row r="392" ht="15.0" customHeight="1">
      <c r="A392" s="2">
        <v>2024.0</v>
      </c>
      <c r="B392" s="2" t="s">
        <v>57</v>
      </c>
      <c r="C392" s="2">
        <v>9.0</v>
      </c>
      <c r="D392" s="2" t="s">
        <v>58</v>
      </c>
      <c r="E392" s="2" t="s">
        <v>25</v>
      </c>
      <c r="F392" s="2" t="s">
        <v>26</v>
      </c>
      <c r="G392" s="2" t="s">
        <v>44</v>
      </c>
      <c r="H392" s="2" t="s">
        <v>45</v>
      </c>
      <c r="I392" s="2" t="s">
        <v>31</v>
      </c>
      <c r="J392" s="2">
        <v>815.0</v>
      </c>
      <c r="K392" s="2">
        <v>482.0</v>
      </c>
      <c r="L392" s="2">
        <v>185.0</v>
      </c>
      <c r="M392" s="2">
        <v>155.0</v>
      </c>
      <c r="N392" s="2">
        <v>124.0</v>
      </c>
      <c r="O392" s="2">
        <v>242.0</v>
      </c>
      <c r="P392" s="2">
        <v>204.0</v>
      </c>
      <c r="Q392" s="2">
        <v>102.0</v>
      </c>
      <c r="R392" s="2">
        <v>5946.0</v>
      </c>
      <c r="S392" s="2">
        <v>210.0</v>
      </c>
      <c r="T392" s="2">
        <v>5736.0</v>
      </c>
      <c r="U392" s="2">
        <v>210.0</v>
      </c>
      <c r="V392" s="2">
        <v>0.0</v>
      </c>
      <c r="W392" s="2">
        <v>5736.0</v>
      </c>
    </row>
    <row r="393" ht="15.0" customHeight="1">
      <c r="A393" s="2">
        <v>2024.0</v>
      </c>
      <c r="B393" s="2" t="s">
        <v>57</v>
      </c>
      <c r="C393" s="2">
        <v>9.0</v>
      </c>
      <c r="D393" s="2" t="s">
        <v>58</v>
      </c>
      <c r="E393" s="2" t="s">
        <v>25</v>
      </c>
      <c r="F393" s="2" t="s">
        <v>26</v>
      </c>
      <c r="G393" s="2" t="s">
        <v>46</v>
      </c>
      <c r="H393" s="2" t="s">
        <v>47</v>
      </c>
      <c r="I393" s="2" t="s">
        <v>29</v>
      </c>
      <c r="J393" s="2">
        <v>8204.0</v>
      </c>
      <c r="K393" s="2">
        <v>4111.0</v>
      </c>
      <c r="L393" s="2">
        <v>1494.0</v>
      </c>
      <c r="M393" s="2">
        <v>1434.0</v>
      </c>
      <c r="N393" s="2">
        <v>1332.0</v>
      </c>
      <c r="O393" s="2">
        <v>2620.0</v>
      </c>
      <c r="P393" s="2">
        <v>1565.0</v>
      </c>
      <c r="Q393" s="2">
        <v>327.0</v>
      </c>
      <c r="R393" s="2">
        <v>54662.0</v>
      </c>
      <c r="S393" s="2">
        <v>40638.0</v>
      </c>
      <c r="T393" s="2">
        <v>14025.0</v>
      </c>
      <c r="U393" s="2">
        <v>40638.0</v>
      </c>
      <c r="V393" s="2">
        <v>0.0</v>
      </c>
      <c r="W393" s="2">
        <v>14025.0</v>
      </c>
    </row>
    <row r="394" ht="15.0" customHeight="1">
      <c r="A394" s="2">
        <v>2024.0</v>
      </c>
      <c r="B394" s="2" t="s">
        <v>57</v>
      </c>
      <c r="C394" s="2">
        <v>9.0</v>
      </c>
      <c r="D394" s="2" t="s">
        <v>58</v>
      </c>
      <c r="E394" s="2" t="s">
        <v>25</v>
      </c>
      <c r="F394" s="2" t="s">
        <v>26</v>
      </c>
      <c r="G394" s="2" t="s">
        <v>46</v>
      </c>
      <c r="H394" s="2" t="s">
        <v>47</v>
      </c>
      <c r="I394" s="2" t="s">
        <v>30</v>
      </c>
      <c r="J394" s="2">
        <v>1240.0</v>
      </c>
      <c r="K394" s="2">
        <v>451.0</v>
      </c>
      <c r="L394" s="2">
        <v>177.0</v>
      </c>
      <c r="M394" s="2">
        <v>169.0</v>
      </c>
      <c r="N394" s="2">
        <v>161.0</v>
      </c>
      <c r="O394" s="2">
        <v>310.0</v>
      </c>
      <c r="P394" s="2">
        <v>204.0</v>
      </c>
      <c r="Q394" s="2">
        <v>37.0</v>
      </c>
      <c r="R394" s="2">
        <v>7564.0</v>
      </c>
      <c r="S394" s="2">
        <v>4083.0</v>
      </c>
      <c r="T394" s="2">
        <v>3481.0</v>
      </c>
      <c r="U394" s="2">
        <v>4082.0</v>
      </c>
      <c r="V394" s="2">
        <v>1.0</v>
      </c>
      <c r="W394" s="2">
        <v>3482.0</v>
      </c>
    </row>
    <row r="395" ht="15.0" customHeight="1">
      <c r="A395" s="2">
        <v>2024.0</v>
      </c>
      <c r="B395" s="2" t="s">
        <v>57</v>
      </c>
      <c r="C395" s="2">
        <v>9.0</v>
      </c>
      <c r="D395" s="2" t="s">
        <v>58</v>
      </c>
      <c r="E395" s="2" t="s">
        <v>25</v>
      </c>
      <c r="F395" s="2" t="s">
        <v>26</v>
      </c>
      <c r="G395" s="2" t="s">
        <v>46</v>
      </c>
      <c r="H395" s="2" t="s">
        <v>47</v>
      </c>
      <c r="I395" s="2" t="s">
        <v>31</v>
      </c>
      <c r="J395" s="2">
        <v>1742.0</v>
      </c>
      <c r="K395" s="2">
        <v>979.0</v>
      </c>
      <c r="L395" s="2">
        <v>314.0</v>
      </c>
      <c r="M395" s="2">
        <v>243.0</v>
      </c>
      <c r="N395" s="2">
        <v>238.0</v>
      </c>
      <c r="O395" s="2">
        <v>490.0</v>
      </c>
      <c r="P395" s="2">
        <v>291.0</v>
      </c>
      <c r="Q395" s="2">
        <v>75.0</v>
      </c>
      <c r="R395" s="2">
        <v>11312.0</v>
      </c>
      <c r="S395" s="2">
        <v>2490.0</v>
      </c>
      <c r="T395" s="2">
        <v>8822.0</v>
      </c>
      <c r="U395" s="2">
        <v>2490.0</v>
      </c>
      <c r="V395" s="2">
        <v>0.0</v>
      </c>
      <c r="W395" s="2">
        <v>8822.0</v>
      </c>
    </row>
    <row r="396" ht="15.0" customHeight="1">
      <c r="A396" s="2">
        <v>2024.0</v>
      </c>
      <c r="B396" s="2" t="s">
        <v>57</v>
      </c>
      <c r="C396" s="2">
        <v>9.0</v>
      </c>
      <c r="D396" s="2" t="s">
        <v>58</v>
      </c>
      <c r="E396" s="2" t="s">
        <v>25</v>
      </c>
      <c r="F396" s="2" t="s">
        <v>48</v>
      </c>
      <c r="G396" s="2" t="s">
        <v>27</v>
      </c>
      <c r="H396" s="2" t="s">
        <v>28</v>
      </c>
      <c r="I396" s="2" t="s">
        <v>29</v>
      </c>
      <c r="J396" s="2">
        <v>6553.0</v>
      </c>
      <c r="K396" s="2">
        <v>3439.0</v>
      </c>
      <c r="L396" s="2">
        <v>1322.0</v>
      </c>
      <c r="M396" s="2">
        <v>1269.0</v>
      </c>
      <c r="N396" s="2">
        <v>778.0</v>
      </c>
      <c r="O396" s="2">
        <v>1284.0</v>
      </c>
      <c r="P396" s="2">
        <v>1080.0</v>
      </c>
      <c r="Q396" s="2">
        <v>0.0</v>
      </c>
      <c r="R396" s="2">
        <v>31507.0</v>
      </c>
      <c r="S396" s="2">
        <v>21642.0</v>
      </c>
      <c r="T396" s="2">
        <v>9865.0</v>
      </c>
      <c r="U396" s="2">
        <v>21341.0</v>
      </c>
      <c r="V396" s="2">
        <v>301.0</v>
      </c>
      <c r="W396" s="2">
        <v>10166.0</v>
      </c>
    </row>
    <row r="397" ht="15.0" customHeight="1">
      <c r="A397" s="2">
        <v>2024.0</v>
      </c>
      <c r="B397" s="2" t="s">
        <v>57</v>
      </c>
      <c r="C397" s="2">
        <v>9.0</v>
      </c>
      <c r="D397" s="2" t="s">
        <v>58</v>
      </c>
      <c r="E397" s="2" t="s">
        <v>25</v>
      </c>
      <c r="F397" s="2" t="s">
        <v>48</v>
      </c>
      <c r="G397" s="2" t="s">
        <v>27</v>
      </c>
      <c r="H397" s="2" t="s">
        <v>28</v>
      </c>
      <c r="I397" s="2" t="s">
        <v>30</v>
      </c>
      <c r="J397" s="2">
        <v>2605.0</v>
      </c>
      <c r="K397" s="2">
        <v>903.0</v>
      </c>
      <c r="L397" s="2">
        <v>331.0</v>
      </c>
      <c r="M397" s="2">
        <v>308.0</v>
      </c>
      <c r="N397" s="2">
        <v>171.0</v>
      </c>
      <c r="O397" s="2">
        <v>264.0</v>
      </c>
      <c r="P397" s="2">
        <v>224.0</v>
      </c>
      <c r="Q397" s="2">
        <v>0.0</v>
      </c>
      <c r="R397" s="2">
        <v>6354.0</v>
      </c>
      <c r="S397" s="2">
        <v>3332.0</v>
      </c>
      <c r="T397" s="2">
        <v>3022.0</v>
      </c>
      <c r="U397" s="2">
        <v>2999.0</v>
      </c>
      <c r="V397" s="2">
        <v>333.0</v>
      </c>
      <c r="W397" s="2">
        <v>3355.0</v>
      </c>
    </row>
    <row r="398" ht="15.0" customHeight="1">
      <c r="A398" s="2">
        <v>2024.0</v>
      </c>
      <c r="B398" s="2" t="s">
        <v>57</v>
      </c>
      <c r="C398" s="2">
        <v>9.0</v>
      </c>
      <c r="D398" s="2" t="s">
        <v>58</v>
      </c>
      <c r="E398" s="2" t="s">
        <v>25</v>
      </c>
      <c r="F398" s="2" t="s">
        <v>48</v>
      </c>
      <c r="G398" s="2" t="s">
        <v>27</v>
      </c>
      <c r="H398" s="2" t="s">
        <v>28</v>
      </c>
      <c r="I398" s="2" t="s">
        <v>31</v>
      </c>
      <c r="J398" s="2">
        <v>180.0</v>
      </c>
      <c r="K398" s="2">
        <v>120.0</v>
      </c>
      <c r="L398" s="2">
        <v>73.0</v>
      </c>
      <c r="M398" s="2">
        <v>57.0</v>
      </c>
      <c r="N398" s="2">
        <v>39.0</v>
      </c>
      <c r="O398" s="2">
        <v>66.0</v>
      </c>
      <c r="P398" s="2">
        <v>55.0</v>
      </c>
      <c r="Q398" s="2">
        <v>0.0</v>
      </c>
      <c r="R398" s="2">
        <v>1650.0</v>
      </c>
      <c r="S398" s="2">
        <v>0.0</v>
      </c>
      <c r="T398" s="2">
        <v>1650.0</v>
      </c>
      <c r="U398" s="2">
        <v>0.0</v>
      </c>
      <c r="V398" s="2">
        <v>0.0</v>
      </c>
      <c r="W398" s="2">
        <v>1650.0</v>
      </c>
    </row>
    <row r="399" ht="15.0" customHeight="1">
      <c r="A399" s="2">
        <v>2024.0</v>
      </c>
      <c r="B399" s="2" t="s">
        <v>57</v>
      </c>
      <c r="C399" s="2">
        <v>9.0</v>
      </c>
      <c r="D399" s="2" t="s">
        <v>58</v>
      </c>
      <c r="E399" s="2" t="s">
        <v>25</v>
      </c>
      <c r="F399" s="2" t="s">
        <v>48</v>
      </c>
      <c r="G399" s="2" t="s">
        <v>32</v>
      </c>
      <c r="H399" s="2" t="s">
        <v>28</v>
      </c>
      <c r="I399" s="2" t="s">
        <v>29</v>
      </c>
      <c r="J399" s="2">
        <v>454.0</v>
      </c>
      <c r="K399" s="2">
        <v>215.0</v>
      </c>
      <c r="L399" s="2">
        <v>93.0</v>
      </c>
      <c r="M399" s="2">
        <v>89.0</v>
      </c>
      <c r="N399" s="2">
        <v>44.0</v>
      </c>
      <c r="O399" s="2">
        <v>53.0</v>
      </c>
      <c r="P399" s="2">
        <v>44.0</v>
      </c>
      <c r="Q399" s="2">
        <v>0.0</v>
      </c>
      <c r="R399" s="2">
        <v>686.0</v>
      </c>
      <c r="S399" s="2">
        <v>295.0</v>
      </c>
      <c r="T399" s="2">
        <v>391.0</v>
      </c>
      <c r="U399" s="2">
        <v>224.0</v>
      </c>
      <c r="V399" s="2">
        <v>71.0</v>
      </c>
      <c r="W399" s="2">
        <v>462.0</v>
      </c>
    </row>
    <row r="400" ht="15.0" customHeight="1">
      <c r="A400" s="2">
        <v>2024.0</v>
      </c>
      <c r="B400" s="2" t="s">
        <v>57</v>
      </c>
      <c r="C400" s="2">
        <v>9.0</v>
      </c>
      <c r="D400" s="2" t="s">
        <v>58</v>
      </c>
      <c r="E400" s="2" t="s">
        <v>25</v>
      </c>
      <c r="F400" s="2" t="s">
        <v>48</v>
      </c>
      <c r="G400" s="2" t="s">
        <v>32</v>
      </c>
      <c r="H400" s="2" t="s">
        <v>28</v>
      </c>
      <c r="I400" s="2" t="s">
        <v>30</v>
      </c>
      <c r="J400" s="2">
        <v>237.0</v>
      </c>
      <c r="K400" s="2">
        <v>108.0</v>
      </c>
      <c r="L400" s="2">
        <v>46.0</v>
      </c>
      <c r="M400" s="2">
        <v>44.0</v>
      </c>
      <c r="N400" s="2">
        <v>12.0</v>
      </c>
      <c r="O400" s="2">
        <v>15.0</v>
      </c>
      <c r="P400" s="2">
        <v>11.0</v>
      </c>
      <c r="Q400" s="2">
        <v>0.0</v>
      </c>
      <c r="R400" s="2">
        <v>177.0</v>
      </c>
      <c r="S400" s="2">
        <v>88.0</v>
      </c>
      <c r="T400" s="2">
        <v>89.0</v>
      </c>
      <c r="U400" s="2">
        <v>88.0</v>
      </c>
      <c r="V400" s="2">
        <v>0.0</v>
      </c>
      <c r="W400" s="2">
        <v>89.0</v>
      </c>
    </row>
    <row r="401" ht="15.0" customHeight="1">
      <c r="A401" s="2">
        <v>2024.0</v>
      </c>
      <c r="B401" s="2" t="s">
        <v>57</v>
      </c>
      <c r="C401" s="2">
        <v>9.0</v>
      </c>
      <c r="D401" s="2" t="s">
        <v>58</v>
      </c>
      <c r="E401" s="2" t="s">
        <v>25</v>
      </c>
      <c r="F401" s="2" t="s">
        <v>48</v>
      </c>
      <c r="G401" s="2" t="s">
        <v>32</v>
      </c>
      <c r="H401" s="2" t="s">
        <v>28</v>
      </c>
      <c r="I401" s="2" t="s">
        <v>31</v>
      </c>
      <c r="J401" s="2">
        <v>1319.0</v>
      </c>
      <c r="K401" s="2">
        <v>727.0</v>
      </c>
      <c r="L401" s="2">
        <v>417.0</v>
      </c>
      <c r="M401" s="2">
        <v>369.0</v>
      </c>
      <c r="N401" s="2">
        <v>116.0</v>
      </c>
      <c r="O401" s="2">
        <v>140.0</v>
      </c>
      <c r="P401" s="2">
        <v>105.0</v>
      </c>
      <c r="Q401" s="2">
        <v>0.0</v>
      </c>
      <c r="R401" s="2">
        <v>1545.0</v>
      </c>
      <c r="S401" s="2">
        <v>0.0</v>
      </c>
      <c r="T401" s="2">
        <v>1545.0</v>
      </c>
      <c r="U401" s="2">
        <v>0.0</v>
      </c>
      <c r="V401" s="2">
        <v>0.0</v>
      </c>
      <c r="W401" s="2">
        <v>1545.0</v>
      </c>
    </row>
    <row r="402" ht="15.0" customHeight="1">
      <c r="A402" s="2">
        <v>2024.0</v>
      </c>
      <c r="B402" s="2" t="s">
        <v>57</v>
      </c>
      <c r="C402" s="2">
        <v>9.0</v>
      </c>
      <c r="D402" s="2" t="s">
        <v>58</v>
      </c>
      <c r="E402" s="2" t="s">
        <v>25</v>
      </c>
      <c r="F402" s="2" t="s">
        <v>48</v>
      </c>
      <c r="G402" s="2" t="s">
        <v>33</v>
      </c>
      <c r="H402" s="2" t="s">
        <v>28</v>
      </c>
      <c r="I402" s="2" t="s">
        <v>29</v>
      </c>
      <c r="J402" s="2">
        <v>2795.0</v>
      </c>
      <c r="K402" s="2">
        <v>1716.0</v>
      </c>
      <c r="L402" s="2">
        <v>740.0</v>
      </c>
      <c r="M402" s="2">
        <v>699.0</v>
      </c>
      <c r="N402" s="2">
        <v>460.0</v>
      </c>
      <c r="O402" s="2">
        <v>524.0</v>
      </c>
      <c r="P402" s="2">
        <v>503.0</v>
      </c>
      <c r="Q402" s="2">
        <v>459.0</v>
      </c>
      <c r="R402" s="2">
        <v>12299.0</v>
      </c>
      <c r="S402" s="2">
        <v>9906.0</v>
      </c>
      <c r="T402" s="2">
        <v>2392.0</v>
      </c>
      <c r="U402" s="2">
        <v>9798.0</v>
      </c>
      <c r="V402" s="2">
        <v>108.0</v>
      </c>
      <c r="W402" s="2">
        <v>2501.0</v>
      </c>
    </row>
    <row r="403" ht="15.0" customHeight="1">
      <c r="A403" s="2">
        <v>2024.0</v>
      </c>
      <c r="B403" s="2" t="s">
        <v>57</v>
      </c>
      <c r="C403" s="2">
        <v>9.0</v>
      </c>
      <c r="D403" s="2" t="s">
        <v>58</v>
      </c>
      <c r="E403" s="2" t="s">
        <v>25</v>
      </c>
      <c r="F403" s="2" t="s">
        <v>48</v>
      </c>
      <c r="G403" s="2" t="s">
        <v>33</v>
      </c>
      <c r="H403" s="2" t="s">
        <v>28</v>
      </c>
      <c r="I403" s="2" t="s">
        <v>30</v>
      </c>
      <c r="J403" s="2">
        <v>1874.0</v>
      </c>
      <c r="K403" s="2">
        <v>685.0</v>
      </c>
      <c r="L403" s="2">
        <v>325.0</v>
      </c>
      <c r="M403" s="2">
        <v>312.0</v>
      </c>
      <c r="N403" s="2">
        <v>127.0</v>
      </c>
      <c r="O403" s="2">
        <v>154.0</v>
      </c>
      <c r="P403" s="2">
        <v>141.0</v>
      </c>
      <c r="Q403" s="2">
        <v>120.0</v>
      </c>
      <c r="R403" s="2">
        <v>3162.0</v>
      </c>
      <c r="S403" s="2">
        <v>3071.0</v>
      </c>
      <c r="T403" s="2">
        <v>93.0</v>
      </c>
      <c r="U403" s="2">
        <v>3071.0</v>
      </c>
      <c r="V403" s="2">
        <v>0.0</v>
      </c>
      <c r="W403" s="2">
        <v>93.0</v>
      </c>
    </row>
    <row r="404" ht="15.0" customHeight="1">
      <c r="A404" s="2">
        <v>2024.0</v>
      </c>
      <c r="B404" s="2" t="s">
        <v>57</v>
      </c>
      <c r="C404" s="2">
        <v>9.0</v>
      </c>
      <c r="D404" s="2" t="s">
        <v>58</v>
      </c>
      <c r="E404" s="2" t="s">
        <v>25</v>
      </c>
      <c r="F404" s="2" t="s">
        <v>48</v>
      </c>
      <c r="G404" s="2" t="s">
        <v>33</v>
      </c>
      <c r="H404" s="2" t="s">
        <v>28</v>
      </c>
      <c r="I404" s="2" t="s">
        <v>31</v>
      </c>
      <c r="J404" s="2">
        <v>219.0</v>
      </c>
      <c r="K404" s="2">
        <v>69.0</v>
      </c>
      <c r="L404" s="2">
        <v>23.0</v>
      </c>
      <c r="M404" s="2">
        <v>19.0</v>
      </c>
      <c r="N404" s="2">
        <v>10.0</v>
      </c>
      <c r="O404" s="2">
        <v>12.0</v>
      </c>
      <c r="P404" s="2">
        <v>11.0</v>
      </c>
      <c r="Q404" s="2">
        <v>9.0</v>
      </c>
      <c r="R404" s="2">
        <v>264.0</v>
      </c>
      <c r="S404" s="2">
        <v>9.0</v>
      </c>
      <c r="T404" s="2">
        <v>255.0</v>
      </c>
      <c r="U404" s="2">
        <v>9.0</v>
      </c>
      <c r="V404" s="2">
        <v>0.0</v>
      </c>
      <c r="W404" s="2">
        <v>255.0</v>
      </c>
    </row>
    <row r="405" ht="15.0" customHeight="1">
      <c r="A405" s="2">
        <v>2024.0</v>
      </c>
      <c r="B405" s="2" t="s">
        <v>57</v>
      </c>
      <c r="C405" s="2">
        <v>9.0</v>
      </c>
      <c r="D405" s="2" t="s">
        <v>58</v>
      </c>
      <c r="E405" s="2" t="s">
        <v>25</v>
      </c>
      <c r="F405" s="2" t="s">
        <v>48</v>
      </c>
      <c r="G405" s="2" t="s">
        <v>34</v>
      </c>
      <c r="H405" s="2" t="s">
        <v>35</v>
      </c>
      <c r="I405" s="2" t="s">
        <v>29</v>
      </c>
      <c r="J405" s="2">
        <v>34230.0</v>
      </c>
      <c r="K405" s="2">
        <v>21402.0</v>
      </c>
      <c r="L405" s="2">
        <v>9330.0</v>
      </c>
      <c r="M405" s="2">
        <v>8956.0</v>
      </c>
      <c r="N405" s="2">
        <v>4047.0</v>
      </c>
      <c r="O405" s="2">
        <v>5407.0</v>
      </c>
      <c r="P405" s="2">
        <v>4222.0</v>
      </c>
      <c r="Q405" s="2">
        <v>0.0</v>
      </c>
      <c r="R405" s="2">
        <v>61200.0</v>
      </c>
      <c r="S405" s="2">
        <v>49207.0</v>
      </c>
      <c r="T405" s="2">
        <v>11993.0</v>
      </c>
      <c r="U405" s="2">
        <v>44192.0</v>
      </c>
      <c r="V405" s="2">
        <v>5014.0</v>
      </c>
      <c r="W405" s="2">
        <v>17008.0</v>
      </c>
    </row>
    <row r="406" ht="15.0" customHeight="1">
      <c r="A406" s="2">
        <v>2024.0</v>
      </c>
      <c r="B406" s="2" t="s">
        <v>57</v>
      </c>
      <c r="C406" s="2">
        <v>9.0</v>
      </c>
      <c r="D406" s="2" t="s">
        <v>58</v>
      </c>
      <c r="E406" s="2" t="s">
        <v>25</v>
      </c>
      <c r="F406" s="2" t="s">
        <v>48</v>
      </c>
      <c r="G406" s="2" t="s">
        <v>34</v>
      </c>
      <c r="H406" s="2" t="s">
        <v>35</v>
      </c>
      <c r="I406" s="2" t="s">
        <v>30</v>
      </c>
      <c r="J406" s="2">
        <v>16298.0</v>
      </c>
      <c r="K406" s="2">
        <v>8413.0</v>
      </c>
      <c r="L406" s="2">
        <v>3141.0</v>
      </c>
      <c r="M406" s="2">
        <v>2997.0</v>
      </c>
      <c r="N406" s="2">
        <v>1184.0</v>
      </c>
      <c r="O406" s="2">
        <v>1573.0</v>
      </c>
      <c r="P406" s="2">
        <v>1221.0</v>
      </c>
      <c r="Q406" s="2">
        <v>0.0</v>
      </c>
      <c r="R406" s="2">
        <v>18414.0</v>
      </c>
      <c r="S406" s="2">
        <v>12585.0</v>
      </c>
      <c r="T406" s="2">
        <v>5828.0</v>
      </c>
      <c r="U406" s="2">
        <v>12585.0</v>
      </c>
      <c r="V406" s="2">
        <v>0.0</v>
      </c>
      <c r="W406" s="2">
        <v>5828.0</v>
      </c>
    </row>
    <row r="407" ht="15.0" customHeight="1">
      <c r="A407" s="2">
        <v>2024.0</v>
      </c>
      <c r="B407" s="2" t="s">
        <v>57</v>
      </c>
      <c r="C407" s="2">
        <v>9.0</v>
      </c>
      <c r="D407" s="2" t="s">
        <v>58</v>
      </c>
      <c r="E407" s="2" t="s">
        <v>25</v>
      </c>
      <c r="F407" s="2" t="s">
        <v>48</v>
      </c>
      <c r="G407" s="2" t="s">
        <v>34</v>
      </c>
      <c r="H407" s="2" t="s">
        <v>35</v>
      </c>
      <c r="I407" s="2" t="s">
        <v>31</v>
      </c>
      <c r="J407" s="2">
        <v>1391.0</v>
      </c>
      <c r="K407" s="2">
        <v>717.0</v>
      </c>
      <c r="L407" s="2">
        <v>502.0</v>
      </c>
      <c r="M407" s="2">
        <v>424.0</v>
      </c>
      <c r="N407" s="2">
        <v>176.0</v>
      </c>
      <c r="O407" s="2">
        <v>237.0</v>
      </c>
      <c r="P407" s="2">
        <v>183.0</v>
      </c>
      <c r="Q407" s="2">
        <v>0.0</v>
      </c>
      <c r="R407" s="2">
        <v>2828.0</v>
      </c>
      <c r="S407" s="2">
        <v>9.0</v>
      </c>
      <c r="T407" s="2">
        <v>2819.0</v>
      </c>
      <c r="U407" s="2">
        <v>9.0</v>
      </c>
      <c r="V407" s="2">
        <v>0.0</v>
      </c>
      <c r="W407" s="2">
        <v>2819.0</v>
      </c>
    </row>
    <row r="408" ht="15.0" customHeight="1">
      <c r="A408" s="2">
        <v>2024.0</v>
      </c>
      <c r="B408" s="2" t="s">
        <v>57</v>
      </c>
      <c r="C408" s="2">
        <v>9.0</v>
      </c>
      <c r="D408" s="2" t="s">
        <v>58</v>
      </c>
      <c r="E408" s="2" t="s">
        <v>25</v>
      </c>
      <c r="F408" s="2" t="s">
        <v>48</v>
      </c>
      <c r="G408" s="2" t="s">
        <v>36</v>
      </c>
      <c r="H408" s="2" t="s">
        <v>35</v>
      </c>
      <c r="I408" s="2" t="s">
        <v>29</v>
      </c>
      <c r="J408" s="2">
        <v>15616.0</v>
      </c>
      <c r="K408" s="2">
        <v>9492.0</v>
      </c>
      <c r="L408" s="2">
        <v>4611.0</v>
      </c>
      <c r="M408" s="2">
        <v>4452.0</v>
      </c>
      <c r="N408" s="2">
        <v>3357.0</v>
      </c>
      <c r="O408" s="2">
        <v>5938.0</v>
      </c>
      <c r="P408" s="2">
        <v>5056.0</v>
      </c>
      <c r="Q408" s="2">
        <v>0.0</v>
      </c>
      <c r="R408" s="2">
        <v>63399.0</v>
      </c>
      <c r="S408" s="2">
        <v>46590.0</v>
      </c>
      <c r="T408" s="2">
        <v>16809.0</v>
      </c>
      <c r="U408" s="2">
        <v>45039.0</v>
      </c>
      <c r="V408" s="2">
        <v>1551.0</v>
      </c>
      <c r="W408" s="2">
        <v>18361.0</v>
      </c>
    </row>
    <row r="409" ht="15.0" customHeight="1">
      <c r="A409" s="2">
        <v>2024.0</v>
      </c>
      <c r="B409" s="2" t="s">
        <v>57</v>
      </c>
      <c r="C409" s="2">
        <v>9.0</v>
      </c>
      <c r="D409" s="2" t="s">
        <v>58</v>
      </c>
      <c r="E409" s="2" t="s">
        <v>25</v>
      </c>
      <c r="F409" s="2" t="s">
        <v>48</v>
      </c>
      <c r="G409" s="2" t="s">
        <v>36</v>
      </c>
      <c r="H409" s="2" t="s">
        <v>35</v>
      </c>
      <c r="I409" s="2" t="s">
        <v>30</v>
      </c>
      <c r="J409" s="2">
        <v>4257.0</v>
      </c>
      <c r="K409" s="2">
        <v>1690.0</v>
      </c>
      <c r="L409" s="2">
        <v>870.0</v>
      </c>
      <c r="M409" s="2">
        <v>843.0</v>
      </c>
      <c r="N409" s="2">
        <v>622.0</v>
      </c>
      <c r="O409" s="2">
        <v>1151.0</v>
      </c>
      <c r="P409" s="2">
        <v>964.0</v>
      </c>
      <c r="Q409" s="2">
        <v>0.0</v>
      </c>
      <c r="R409" s="2">
        <v>12494.0</v>
      </c>
      <c r="S409" s="2">
        <v>9217.0</v>
      </c>
      <c r="T409" s="2">
        <v>3277.0</v>
      </c>
      <c r="U409" s="2">
        <v>8066.0</v>
      </c>
      <c r="V409" s="2">
        <v>1152.0</v>
      </c>
      <c r="W409" s="2">
        <v>4429.0</v>
      </c>
    </row>
    <row r="410" ht="15.0" customHeight="1">
      <c r="A410" s="2">
        <v>2024.0</v>
      </c>
      <c r="B410" s="2" t="s">
        <v>57</v>
      </c>
      <c r="C410" s="2">
        <v>9.0</v>
      </c>
      <c r="D410" s="2" t="s">
        <v>58</v>
      </c>
      <c r="E410" s="2" t="s">
        <v>25</v>
      </c>
      <c r="F410" s="2" t="s">
        <v>48</v>
      </c>
      <c r="G410" s="2" t="s">
        <v>36</v>
      </c>
      <c r="H410" s="2" t="s">
        <v>35</v>
      </c>
      <c r="I410" s="2" t="s">
        <v>31</v>
      </c>
      <c r="J410" s="2">
        <v>1201.0</v>
      </c>
      <c r="K410" s="2">
        <v>797.0</v>
      </c>
      <c r="L410" s="2">
        <v>519.0</v>
      </c>
      <c r="M410" s="2">
        <v>477.0</v>
      </c>
      <c r="N410" s="2">
        <v>323.0</v>
      </c>
      <c r="O410" s="2">
        <v>629.0</v>
      </c>
      <c r="P410" s="2">
        <v>519.0</v>
      </c>
      <c r="Q410" s="2">
        <v>0.0</v>
      </c>
      <c r="R410" s="2">
        <v>6429.0</v>
      </c>
      <c r="S410" s="2">
        <v>0.0</v>
      </c>
      <c r="T410" s="2">
        <v>6429.0</v>
      </c>
      <c r="U410" s="2">
        <v>0.0</v>
      </c>
      <c r="V410" s="2">
        <v>0.0</v>
      </c>
      <c r="W410" s="2">
        <v>6429.0</v>
      </c>
    </row>
    <row r="411" ht="15.0" customHeight="1">
      <c r="A411" s="2">
        <v>2024.0</v>
      </c>
      <c r="B411" s="2" t="s">
        <v>57</v>
      </c>
      <c r="C411" s="2">
        <v>9.0</v>
      </c>
      <c r="D411" s="2" t="s">
        <v>58</v>
      </c>
      <c r="E411" s="2" t="s">
        <v>25</v>
      </c>
      <c r="F411" s="2" t="s">
        <v>48</v>
      </c>
      <c r="G411" s="2" t="s">
        <v>37</v>
      </c>
      <c r="H411" s="2" t="s">
        <v>35</v>
      </c>
      <c r="I411" s="2" t="s">
        <v>29</v>
      </c>
      <c r="J411" s="2">
        <v>4260.0</v>
      </c>
      <c r="K411" s="2">
        <v>2005.0</v>
      </c>
      <c r="L411" s="2">
        <v>812.0</v>
      </c>
      <c r="M411" s="2">
        <v>769.0</v>
      </c>
      <c r="N411" s="2">
        <v>496.0</v>
      </c>
      <c r="O411" s="2">
        <v>1031.0</v>
      </c>
      <c r="P411" s="2">
        <v>769.0</v>
      </c>
      <c r="Q411" s="2">
        <v>1.0</v>
      </c>
      <c r="R411" s="2">
        <v>19826.0</v>
      </c>
      <c r="S411" s="2">
        <v>16776.0</v>
      </c>
      <c r="T411" s="2">
        <v>3050.0</v>
      </c>
      <c r="U411" s="2">
        <v>16776.0</v>
      </c>
      <c r="V411" s="2">
        <v>0.0</v>
      </c>
      <c r="W411" s="2">
        <v>3050.0</v>
      </c>
    </row>
    <row r="412" ht="15.0" customHeight="1">
      <c r="A412" s="2">
        <v>2024.0</v>
      </c>
      <c r="B412" s="2" t="s">
        <v>57</v>
      </c>
      <c r="C412" s="2">
        <v>9.0</v>
      </c>
      <c r="D412" s="2" t="s">
        <v>58</v>
      </c>
      <c r="E412" s="2" t="s">
        <v>25</v>
      </c>
      <c r="F412" s="2" t="s">
        <v>48</v>
      </c>
      <c r="G412" s="2" t="s">
        <v>37</v>
      </c>
      <c r="H412" s="2" t="s">
        <v>35</v>
      </c>
      <c r="I412" s="2" t="s">
        <v>30</v>
      </c>
      <c r="J412" s="2">
        <v>1970.0</v>
      </c>
      <c r="K412" s="2">
        <v>519.0</v>
      </c>
      <c r="L412" s="2">
        <v>157.0</v>
      </c>
      <c r="M412" s="2">
        <v>149.0</v>
      </c>
      <c r="N412" s="2">
        <v>104.0</v>
      </c>
      <c r="O412" s="2">
        <v>203.0</v>
      </c>
      <c r="P412" s="2">
        <v>144.0</v>
      </c>
      <c r="Q412" s="2">
        <v>2.0</v>
      </c>
      <c r="R412" s="2">
        <v>3757.0</v>
      </c>
      <c r="S412" s="2">
        <v>2583.0</v>
      </c>
      <c r="T412" s="2">
        <v>1174.0</v>
      </c>
      <c r="U412" s="2">
        <v>2583.0</v>
      </c>
      <c r="V412" s="2">
        <v>0.0</v>
      </c>
      <c r="W412" s="2">
        <v>1174.0</v>
      </c>
    </row>
    <row r="413" ht="15.0" customHeight="1">
      <c r="A413" s="2">
        <v>2024.0</v>
      </c>
      <c r="B413" s="2" t="s">
        <v>57</v>
      </c>
      <c r="C413" s="2">
        <v>9.0</v>
      </c>
      <c r="D413" s="2" t="s">
        <v>58</v>
      </c>
      <c r="E413" s="2" t="s">
        <v>25</v>
      </c>
      <c r="F413" s="2" t="s">
        <v>48</v>
      </c>
      <c r="G413" s="2" t="s">
        <v>37</v>
      </c>
      <c r="H413" s="2" t="s">
        <v>35</v>
      </c>
      <c r="I413" s="2" t="s">
        <v>31</v>
      </c>
      <c r="J413" s="2">
        <v>84.0</v>
      </c>
      <c r="K413" s="2">
        <v>69.0</v>
      </c>
      <c r="L413" s="2">
        <v>32.0</v>
      </c>
      <c r="M413" s="2">
        <v>25.0</v>
      </c>
      <c r="N413" s="2">
        <v>17.0</v>
      </c>
      <c r="O413" s="2">
        <v>33.0</v>
      </c>
      <c r="P413" s="2">
        <v>30.0</v>
      </c>
      <c r="Q413" s="2">
        <v>0.0</v>
      </c>
      <c r="R413" s="2">
        <v>741.0</v>
      </c>
      <c r="S413" s="2">
        <v>0.0</v>
      </c>
      <c r="T413" s="2">
        <v>741.0</v>
      </c>
      <c r="U413" s="2">
        <v>0.0</v>
      </c>
      <c r="V413" s="2">
        <v>0.0</v>
      </c>
      <c r="W413" s="2">
        <v>741.0</v>
      </c>
    </row>
    <row r="414" ht="15.0" customHeight="1">
      <c r="A414" s="2">
        <v>2024.0</v>
      </c>
      <c r="B414" s="2" t="s">
        <v>57</v>
      </c>
      <c r="C414" s="2">
        <v>9.0</v>
      </c>
      <c r="D414" s="2" t="s">
        <v>58</v>
      </c>
      <c r="E414" s="2" t="s">
        <v>25</v>
      </c>
      <c r="F414" s="2" t="s">
        <v>48</v>
      </c>
      <c r="G414" s="2" t="s">
        <v>38</v>
      </c>
      <c r="H414" s="2" t="s">
        <v>35</v>
      </c>
      <c r="I414" s="2" t="s">
        <v>29</v>
      </c>
      <c r="J414" s="2">
        <v>4000.0</v>
      </c>
      <c r="K414" s="2">
        <v>2124.0</v>
      </c>
      <c r="L414" s="2">
        <v>1094.0</v>
      </c>
      <c r="M414" s="2">
        <v>1058.0</v>
      </c>
      <c r="N414" s="2">
        <v>629.0</v>
      </c>
      <c r="O414" s="2">
        <v>887.0</v>
      </c>
      <c r="P414" s="2">
        <v>719.0</v>
      </c>
      <c r="Q414" s="2">
        <v>151.0</v>
      </c>
      <c r="R414" s="2">
        <v>12911.0</v>
      </c>
      <c r="S414" s="2">
        <v>8189.0</v>
      </c>
      <c r="T414" s="2">
        <v>4722.0</v>
      </c>
      <c r="U414" s="2">
        <v>8117.0</v>
      </c>
      <c r="V414" s="2">
        <v>72.0</v>
      </c>
      <c r="W414" s="2">
        <v>4794.0</v>
      </c>
    </row>
    <row r="415" ht="15.0" customHeight="1">
      <c r="A415" s="2">
        <v>2024.0</v>
      </c>
      <c r="B415" s="2" t="s">
        <v>57</v>
      </c>
      <c r="C415" s="2">
        <v>9.0</v>
      </c>
      <c r="D415" s="2" t="s">
        <v>58</v>
      </c>
      <c r="E415" s="2" t="s">
        <v>25</v>
      </c>
      <c r="F415" s="2" t="s">
        <v>48</v>
      </c>
      <c r="G415" s="2" t="s">
        <v>38</v>
      </c>
      <c r="H415" s="2" t="s">
        <v>35</v>
      </c>
      <c r="I415" s="2" t="s">
        <v>30</v>
      </c>
      <c r="J415" s="2">
        <v>7100.0</v>
      </c>
      <c r="K415" s="2">
        <v>2709.0</v>
      </c>
      <c r="L415" s="2">
        <v>1830.0</v>
      </c>
      <c r="M415" s="2">
        <v>1777.0</v>
      </c>
      <c r="N415" s="2">
        <v>947.0</v>
      </c>
      <c r="O415" s="2">
        <v>1299.0</v>
      </c>
      <c r="P415" s="2">
        <v>1001.0</v>
      </c>
      <c r="Q415" s="2">
        <v>269.0</v>
      </c>
      <c r="R415" s="2">
        <v>17944.0</v>
      </c>
      <c r="S415" s="2">
        <v>15047.0</v>
      </c>
      <c r="T415" s="2">
        <v>2897.0</v>
      </c>
      <c r="U415" s="2">
        <v>15047.0</v>
      </c>
      <c r="V415" s="2">
        <v>0.0</v>
      </c>
      <c r="W415" s="2">
        <v>2897.0</v>
      </c>
    </row>
    <row r="416" ht="15.0" customHeight="1">
      <c r="A416" s="2">
        <v>2024.0</v>
      </c>
      <c r="B416" s="2" t="s">
        <v>57</v>
      </c>
      <c r="C416" s="2">
        <v>9.0</v>
      </c>
      <c r="D416" s="2" t="s">
        <v>58</v>
      </c>
      <c r="E416" s="2" t="s">
        <v>25</v>
      </c>
      <c r="F416" s="2" t="s">
        <v>48</v>
      </c>
      <c r="G416" s="2" t="s">
        <v>38</v>
      </c>
      <c r="H416" s="2" t="s">
        <v>35</v>
      </c>
      <c r="I416" s="2" t="s">
        <v>31</v>
      </c>
      <c r="J416" s="2">
        <v>1616.0</v>
      </c>
      <c r="K416" s="2">
        <v>473.0</v>
      </c>
      <c r="L416" s="2">
        <v>323.0</v>
      </c>
      <c r="M416" s="2">
        <v>292.0</v>
      </c>
      <c r="N416" s="2">
        <v>152.0</v>
      </c>
      <c r="O416" s="2">
        <v>222.0</v>
      </c>
      <c r="P416" s="2">
        <v>172.0</v>
      </c>
      <c r="Q416" s="2">
        <v>36.0</v>
      </c>
      <c r="R416" s="2">
        <v>3009.0</v>
      </c>
      <c r="S416" s="2">
        <v>27.0</v>
      </c>
      <c r="T416" s="2">
        <v>2982.0</v>
      </c>
      <c r="U416" s="2">
        <v>27.0</v>
      </c>
      <c r="V416" s="2">
        <v>0.0</v>
      </c>
      <c r="W416" s="2">
        <v>2982.0</v>
      </c>
    </row>
    <row r="417" ht="15.0" customHeight="1">
      <c r="A417" s="2">
        <v>2024.0</v>
      </c>
      <c r="B417" s="2" t="s">
        <v>57</v>
      </c>
      <c r="C417" s="2">
        <v>9.0</v>
      </c>
      <c r="D417" s="2" t="s">
        <v>58</v>
      </c>
      <c r="E417" s="2" t="s">
        <v>25</v>
      </c>
      <c r="F417" s="2" t="s">
        <v>48</v>
      </c>
      <c r="G417" s="2" t="s">
        <v>39</v>
      </c>
      <c r="H417" s="2" t="s">
        <v>40</v>
      </c>
      <c r="I417" s="2" t="s">
        <v>29</v>
      </c>
      <c r="J417" s="2">
        <v>27881.0</v>
      </c>
      <c r="K417" s="2">
        <v>17263.0</v>
      </c>
      <c r="L417" s="2">
        <v>8104.0</v>
      </c>
      <c r="M417" s="2">
        <v>7711.0</v>
      </c>
      <c r="N417" s="2">
        <v>7120.0</v>
      </c>
      <c r="O417" s="2">
        <v>12704.0</v>
      </c>
      <c r="P417" s="2">
        <v>12111.0</v>
      </c>
      <c r="Q417" s="2">
        <v>9156.0</v>
      </c>
      <c r="R417" s="2">
        <v>86591.0</v>
      </c>
      <c r="S417" s="2">
        <v>60871.0</v>
      </c>
      <c r="T417" s="2">
        <v>25720.0</v>
      </c>
      <c r="U417" s="2">
        <v>60206.0</v>
      </c>
      <c r="V417" s="2">
        <v>665.0</v>
      </c>
      <c r="W417" s="2">
        <v>26385.0</v>
      </c>
    </row>
    <row r="418" ht="15.0" customHeight="1">
      <c r="A418" s="2">
        <v>2024.0</v>
      </c>
      <c r="B418" s="2" t="s">
        <v>57</v>
      </c>
      <c r="C418" s="2">
        <v>9.0</v>
      </c>
      <c r="D418" s="2" t="s">
        <v>58</v>
      </c>
      <c r="E418" s="2" t="s">
        <v>25</v>
      </c>
      <c r="F418" s="2" t="s">
        <v>48</v>
      </c>
      <c r="G418" s="2" t="s">
        <v>39</v>
      </c>
      <c r="H418" s="2" t="s">
        <v>40</v>
      </c>
      <c r="I418" s="2" t="s">
        <v>30</v>
      </c>
      <c r="J418" s="2">
        <v>6422.0</v>
      </c>
      <c r="K418" s="2">
        <v>3047.0</v>
      </c>
      <c r="L418" s="2">
        <v>1128.0</v>
      </c>
      <c r="M418" s="2">
        <v>1063.0</v>
      </c>
      <c r="N418" s="2">
        <v>946.0</v>
      </c>
      <c r="O418" s="2">
        <v>1598.0</v>
      </c>
      <c r="P418" s="2">
        <v>1501.0</v>
      </c>
      <c r="Q418" s="2">
        <v>1097.0</v>
      </c>
      <c r="R418" s="2">
        <v>10469.0</v>
      </c>
      <c r="S418" s="2">
        <v>8540.0</v>
      </c>
      <c r="T418" s="2">
        <v>1929.0</v>
      </c>
      <c r="U418" s="2">
        <v>8507.0</v>
      </c>
      <c r="V418" s="2">
        <v>33.0</v>
      </c>
      <c r="W418" s="2">
        <v>1962.0</v>
      </c>
    </row>
    <row r="419" ht="15.0" customHeight="1">
      <c r="A419" s="2">
        <v>2024.0</v>
      </c>
      <c r="B419" s="2" t="s">
        <v>57</v>
      </c>
      <c r="C419" s="2">
        <v>9.0</v>
      </c>
      <c r="D419" s="2" t="s">
        <v>58</v>
      </c>
      <c r="E419" s="2" t="s">
        <v>25</v>
      </c>
      <c r="F419" s="2" t="s">
        <v>48</v>
      </c>
      <c r="G419" s="2" t="s">
        <v>39</v>
      </c>
      <c r="H419" s="2" t="s">
        <v>40</v>
      </c>
      <c r="I419" s="2" t="s">
        <v>31</v>
      </c>
      <c r="J419" s="2">
        <v>3469.0</v>
      </c>
      <c r="K419" s="2">
        <v>2261.0</v>
      </c>
      <c r="L419" s="2">
        <v>1245.0</v>
      </c>
      <c r="M419" s="2">
        <v>1093.0</v>
      </c>
      <c r="N419" s="2">
        <v>1016.0</v>
      </c>
      <c r="O419" s="2">
        <v>1958.0</v>
      </c>
      <c r="P419" s="2">
        <v>1855.0</v>
      </c>
      <c r="Q419" s="2">
        <v>1342.0</v>
      </c>
      <c r="R419" s="2">
        <v>14668.0</v>
      </c>
      <c r="S419" s="2">
        <v>30.0</v>
      </c>
      <c r="T419" s="2">
        <v>14637.0</v>
      </c>
      <c r="U419" s="2">
        <v>30.0</v>
      </c>
      <c r="V419" s="2">
        <v>0.0</v>
      </c>
      <c r="W419" s="2">
        <v>14637.0</v>
      </c>
    </row>
    <row r="420" ht="15.0" customHeight="1">
      <c r="A420" s="2">
        <v>2024.0</v>
      </c>
      <c r="B420" s="2" t="s">
        <v>57</v>
      </c>
      <c r="C420" s="2">
        <v>9.0</v>
      </c>
      <c r="D420" s="2" t="s">
        <v>58</v>
      </c>
      <c r="E420" s="2" t="s">
        <v>25</v>
      </c>
      <c r="F420" s="2" t="s">
        <v>48</v>
      </c>
      <c r="G420" s="2" t="s">
        <v>41</v>
      </c>
      <c r="H420" s="2" t="s">
        <v>42</v>
      </c>
      <c r="I420" s="2" t="s">
        <v>29</v>
      </c>
      <c r="J420" s="2">
        <v>46585.0</v>
      </c>
      <c r="K420" s="2">
        <v>24334.0</v>
      </c>
      <c r="L420" s="2">
        <v>5738.0</v>
      </c>
      <c r="M420" s="2">
        <v>5130.0</v>
      </c>
      <c r="N420" s="2">
        <v>2567.0</v>
      </c>
      <c r="O420" s="2">
        <v>3537.0</v>
      </c>
      <c r="P420" s="2">
        <v>2673.0</v>
      </c>
      <c r="Q420" s="2">
        <v>0.0</v>
      </c>
      <c r="R420" s="2">
        <v>26350.0</v>
      </c>
      <c r="S420" s="2">
        <v>21221.0</v>
      </c>
      <c r="T420" s="2">
        <v>5129.0</v>
      </c>
      <c r="U420" s="2">
        <v>19546.0</v>
      </c>
      <c r="V420" s="2">
        <v>1675.0</v>
      </c>
      <c r="W420" s="2">
        <v>6804.0</v>
      </c>
    </row>
    <row r="421" ht="15.0" customHeight="1">
      <c r="A421" s="2">
        <v>2024.0</v>
      </c>
      <c r="B421" s="2" t="s">
        <v>57</v>
      </c>
      <c r="C421" s="2">
        <v>9.0</v>
      </c>
      <c r="D421" s="2" t="s">
        <v>58</v>
      </c>
      <c r="E421" s="2" t="s">
        <v>25</v>
      </c>
      <c r="F421" s="2" t="s">
        <v>48</v>
      </c>
      <c r="G421" s="2" t="s">
        <v>41</v>
      </c>
      <c r="H421" s="2" t="s">
        <v>42</v>
      </c>
      <c r="I421" s="2" t="s">
        <v>30</v>
      </c>
      <c r="J421" s="2">
        <v>7652.0</v>
      </c>
      <c r="K421" s="2">
        <v>4050.0</v>
      </c>
      <c r="L421" s="2">
        <v>2190.0</v>
      </c>
      <c r="M421" s="2">
        <v>2046.0</v>
      </c>
      <c r="N421" s="2">
        <v>1058.0</v>
      </c>
      <c r="O421" s="2">
        <v>1492.0</v>
      </c>
      <c r="P421" s="2">
        <v>1112.0</v>
      </c>
      <c r="Q421" s="2">
        <v>0.0</v>
      </c>
      <c r="R421" s="2">
        <v>10485.0</v>
      </c>
      <c r="S421" s="2">
        <v>7241.0</v>
      </c>
      <c r="T421" s="2">
        <v>3244.0</v>
      </c>
      <c r="U421" s="2">
        <v>7150.0</v>
      </c>
      <c r="V421" s="2">
        <v>91.0</v>
      </c>
      <c r="W421" s="2">
        <v>3335.0</v>
      </c>
    </row>
    <row r="422" ht="15.0" customHeight="1">
      <c r="A422" s="2">
        <v>2024.0</v>
      </c>
      <c r="B422" s="2" t="s">
        <v>57</v>
      </c>
      <c r="C422" s="2">
        <v>9.0</v>
      </c>
      <c r="D422" s="2" t="s">
        <v>58</v>
      </c>
      <c r="E422" s="2" t="s">
        <v>25</v>
      </c>
      <c r="F422" s="2" t="s">
        <v>48</v>
      </c>
      <c r="G422" s="2" t="s">
        <v>41</v>
      </c>
      <c r="H422" s="2" t="s">
        <v>42</v>
      </c>
      <c r="I422" s="2" t="s">
        <v>31</v>
      </c>
      <c r="J422" s="2">
        <v>10432.0</v>
      </c>
      <c r="K422" s="2">
        <v>7376.0</v>
      </c>
      <c r="L422" s="2">
        <v>6268.0</v>
      </c>
      <c r="M422" s="2">
        <v>5247.0</v>
      </c>
      <c r="N422" s="2">
        <v>1752.0</v>
      </c>
      <c r="O422" s="2">
        <v>2376.0</v>
      </c>
      <c r="P422" s="2">
        <v>1775.0</v>
      </c>
      <c r="Q422" s="2">
        <v>0.0</v>
      </c>
      <c r="R422" s="2">
        <v>19299.0</v>
      </c>
      <c r="S422" s="2">
        <v>230.0</v>
      </c>
      <c r="T422" s="2">
        <v>19069.0</v>
      </c>
      <c r="U422" s="2">
        <v>230.0</v>
      </c>
      <c r="V422" s="2">
        <v>0.0</v>
      </c>
      <c r="W422" s="2">
        <v>19069.0</v>
      </c>
    </row>
    <row r="423" ht="15.0" customHeight="1">
      <c r="A423" s="2">
        <v>2024.0</v>
      </c>
      <c r="B423" s="2" t="s">
        <v>57</v>
      </c>
      <c r="C423" s="2">
        <v>9.0</v>
      </c>
      <c r="D423" s="2" t="s">
        <v>58</v>
      </c>
      <c r="E423" s="2" t="s">
        <v>25</v>
      </c>
      <c r="F423" s="2" t="s">
        <v>48</v>
      </c>
      <c r="G423" s="2" t="s">
        <v>43</v>
      </c>
      <c r="H423" s="2" t="s">
        <v>42</v>
      </c>
      <c r="I423" s="2" t="s">
        <v>29</v>
      </c>
      <c r="J423" s="2">
        <v>27513.0</v>
      </c>
      <c r="K423" s="2">
        <v>13171.0</v>
      </c>
      <c r="L423" s="2">
        <v>3973.0</v>
      </c>
      <c r="M423" s="2">
        <v>3650.0</v>
      </c>
      <c r="N423" s="2">
        <v>2033.0</v>
      </c>
      <c r="O423" s="2">
        <v>4243.0</v>
      </c>
      <c r="P423" s="2">
        <v>3606.0</v>
      </c>
      <c r="Q423" s="2">
        <v>0.0</v>
      </c>
      <c r="R423" s="2">
        <v>113334.0</v>
      </c>
      <c r="S423" s="2">
        <v>82758.0</v>
      </c>
      <c r="T423" s="2">
        <v>30576.0</v>
      </c>
      <c r="U423" s="2">
        <v>78535.0</v>
      </c>
      <c r="V423" s="2">
        <v>4223.0</v>
      </c>
      <c r="W423" s="2">
        <v>34799.0</v>
      </c>
    </row>
    <row r="424" ht="15.0" customHeight="1">
      <c r="A424" s="2">
        <v>2024.0</v>
      </c>
      <c r="B424" s="2" t="s">
        <v>57</v>
      </c>
      <c r="C424" s="2">
        <v>9.0</v>
      </c>
      <c r="D424" s="2" t="s">
        <v>58</v>
      </c>
      <c r="E424" s="2" t="s">
        <v>25</v>
      </c>
      <c r="F424" s="2" t="s">
        <v>48</v>
      </c>
      <c r="G424" s="2" t="s">
        <v>43</v>
      </c>
      <c r="H424" s="2" t="s">
        <v>42</v>
      </c>
      <c r="I424" s="2" t="s">
        <v>30</v>
      </c>
      <c r="J424" s="2">
        <v>6039.0</v>
      </c>
      <c r="K424" s="2">
        <v>2112.0</v>
      </c>
      <c r="L424" s="2">
        <v>588.0</v>
      </c>
      <c r="M424" s="2">
        <v>550.0</v>
      </c>
      <c r="N424" s="2">
        <v>329.0</v>
      </c>
      <c r="O424" s="2">
        <v>753.0</v>
      </c>
      <c r="P424" s="2">
        <v>645.0</v>
      </c>
      <c r="Q424" s="2">
        <v>0.0</v>
      </c>
      <c r="R424" s="2">
        <v>21438.0</v>
      </c>
      <c r="S424" s="2">
        <v>15566.0</v>
      </c>
      <c r="T424" s="2">
        <v>5871.0</v>
      </c>
      <c r="U424" s="2">
        <v>15308.0</v>
      </c>
      <c r="V424" s="2">
        <v>258.0</v>
      </c>
      <c r="W424" s="2">
        <v>6128.0</v>
      </c>
    </row>
    <row r="425" ht="15.0" customHeight="1">
      <c r="A425" s="2">
        <v>2024.0</v>
      </c>
      <c r="B425" s="2" t="s">
        <v>57</v>
      </c>
      <c r="C425" s="2">
        <v>9.0</v>
      </c>
      <c r="D425" s="2" t="s">
        <v>58</v>
      </c>
      <c r="E425" s="2" t="s">
        <v>25</v>
      </c>
      <c r="F425" s="2" t="s">
        <v>48</v>
      </c>
      <c r="G425" s="2" t="s">
        <v>43</v>
      </c>
      <c r="H425" s="2" t="s">
        <v>42</v>
      </c>
      <c r="I425" s="2" t="s">
        <v>31</v>
      </c>
      <c r="J425" s="2">
        <v>852.0</v>
      </c>
      <c r="K425" s="2">
        <v>563.0</v>
      </c>
      <c r="L425" s="2">
        <v>329.0</v>
      </c>
      <c r="M425" s="2">
        <v>298.0</v>
      </c>
      <c r="N425" s="2">
        <v>184.0</v>
      </c>
      <c r="O425" s="2">
        <v>445.0</v>
      </c>
      <c r="P425" s="2">
        <v>388.0</v>
      </c>
      <c r="Q425" s="2">
        <v>0.0</v>
      </c>
      <c r="R425" s="2">
        <v>12514.0</v>
      </c>
      <c r="S425" s="2">
        <v>23.0</v>
      </c>
      <c r="T425" s="2">
        <v>12492.0</v>
      </c>
      <c r="U425" s="2">
        <v>23.0</v>
      </c>
      <c r="V425" s="2">
        <v>0.0</v>
      </c>
      <c r="W425" s="2">
        <v>12492.0</v>
      </c>
    </row>
    <row r="426" ht="15.0" customHeight="1">
      <c r="A426" s="2">
        <v>2024.0</v>
      </c>
      <c r="B426" s="2" t="s">
        <v>57</v>
      </c>
      <c r="C426" s="2">
        <v>9.0</v>
      </c>
      <c r="D426" s="2" t="s">
        <v>58</v>
      </c>
      <c r="E426" s="2" t="s">
        <v>25</v>
      </c>
      <c r="F426" s="2" t="s">
        <v>48</v>
      </c>
      <c r="G426" s="2" t="s">
        <v>44</v>
      </c>
      <c r="H426" s="2" t="s">
        <v>45</v>
      </c>
      <c r="I426" s="2" t="s">
        <v>29</v>
      </c>
      <c r="J426" s="2">
        <v>3495.0</v>
      </c>
      <c r="K426" s="2">
        <v>1855.0</v>
      </c>
      <c r="L426" s="2">
        <v>594.0</v>
      </c>
      <c r="M426" s="2">
        <v>568.0</v>
      </c>
      <c r="N426" s="2">
        <v>462.0</v>
      </c>
      <c r="O426" s="2">
        <v>845.0</v>
      </c>
      <c r="P426" s="2">
        <v>691.0</v>
      </c>
      <c r="Q426" s="2">
        <v>275.0</v>
      </c>
      <c r="R426" s="2">
        <v>17091.0</v>
      </c>
      <c r="S426" s="2">
        <v>14624.0</v>
      </c>
      <c r="T426" s="2">
        <v>2467.0</v>
      </c>
      <c r="U426" s="2">
        <v>14624.0</v>
      </c>
      <c r="V426" s="2">
        <v>0.0</v>
      </c>
      <c r="W426" s="2">
        <v>2467.0</v>
      </c>
    </row>
    <row r="427" ht="15.0" customHeight="1">
      <c r="A427" s="2">
        <v>2024.0</v>
      </c>
      <c r="B427" s="2" t="s">
        <v>57</v>
      </c>
      <c r="C427" s="2">
        <v>9.0</v>
      </c>
      <c r="D427" s="2" t="s">
        <v>58</v>
      </c>
      <c r="E427" s="2" t="s">
        <v>25</v>
      </c>
      <c r="F427" s="2" t="s">
        <v>48</v>
      </c>
      <c r="G427" s="2" t="s">
        <v>44</v>
      </c>
      <c r="H427" s="2" t="s">
        <v>45</v>
      </c>
      <c r="I427" s="2" t="s">
        <v>30</v>
      </c>
      <c r="J427" s="2">
        <v>5049.0</v>
      </c>
      <c r="K427" s="2">
        <v>2332.0</v>
      </c>
      <c r="L427" s="2">
        <v>640.0</v>
      </c>
      <c r="M427" s="2">
        <v>604.0</v>
      </c>
      <c r="N427" s="2">
        <v>420.0</v>
      </c>
      <c r="O427" s="2">
        <v>677.0</v>
      </c>
      <c r="P427" s="2">
        <v>549.0</v>
      </c>
      <c r="Q427" s="2">
        <v>201.0</v>
      </c>
      <c r="R427" s="2">
        <v>13291.0</v>
      </c>
      <c r="S427" s="2">
        <v>12334.0</v>
      </c>
      <c r="T427" s="2">
        <v>958.0</v>
      </c>
      <c r="U427" s="2">
        <v>12334.0</v>
      </c>
      <c r="V427" s="2">
        <v>0.0</v>
      </c>
      <c r="W427" s="2">
        <v>958.0</v>
      </c>
    </row>
    <row r="428" ht="15.0" customHeight="1">
      <c r="A428" s="2">
        <v>2024.0</v>
      </c>
      <c r="B428" s="2" t="s">
        <v>57</v>
      </c>
      <c r="C428" s="2">
        <v>9.0</v>
      </c>
      <c r="D428" s="2" t="s">
        <v>58</v>
      </c>
      <c r="E428" s="2" t="s">
        <v>25</v>
      </c>
      <c r="F428" s="2" t="s">
        <v>48</v>
      </c>
      <c r="G428" s="2" t="s">
        <v>44</v>
      </c>
      <c r="H428" s="2" t="s">
        <v>45</v>
      </c>
      <c r="I428" s="2" t="s">
        <v>31</v>
      </c>
      <c r="J428" s="2">
        <v>403.0</v>
      </c>
      <c r="K428" s="2">
        <v>268.0</v>
      </c>
      <c r="L428" s="2">
        <v>112.0</v>
      </c>
      <c r="M428" s="2">
        <v>84.0</v>
      </c>
      <c r="N428" s="2">
        <v>73.0</v>
      </c>
      <c r="O428" s="2">
        <v>133.0</v>
      </c>
      <c r="P428" s="2">
        <v>102.0</v>
      </c>
      <c r="Q428" s="2">
        <v>19.0</v>
      </c>
      <c r="R428" s="2">
        <v>2996.0</v>
      </c>
      <c r="S428" s="2">
        <v>30.0</v>
      </c>
      <c r="T428" s="2">
        <v>2966.0</v>
      </c>
      <c r="U428" s="2">
        <v>30.0</v>
      </c>
      <c r="V428" s="2">
        <v>0.0</v>
      </c>
      <c r="W428" s="2">
        <v>2966.0</v>
      </c>
    </row>
    <row r="429" ht="15.0" customHeight="1">
      <c r="A429" s="2">
        <v>2024.0</v>
      </c>
      <c r="B429" s="2" t="s">
        <v>57</v>
      </c>
      <c r="C429" s="2">
        <v>9.0</v>
      </c>
      <c r="D429" s="2" t="s">
        <v>58</v>
      </c>
      <c r="E429" s="2" t="s">
        <v>25</v>
      </c>
      <c r="F429" s="2" t="s">
        <v>48</v>
      </c>
      <c r="G429" s="2" t="s">
        <v>46</v>
      </c>
      <c r="H429" s="2" t="s">
        <v>47</v>
      </c>
      <c r="I429" s="2" t="s">
        <v>29</v>
      </c>
      <c r="J429" s="2">
        <v>17081.0</v>
      </c>
      <c r="K429" s="2">
        <v>8188.0</v>
      </c>
      <c r="L429" s="2">
        <v>2921.0</v>
      </c>
      <c r="M429" s="2">
        <v>2767.0</v>
      </c>
      <c r="N429" s="2">
        <v>2766.0</v>
      </c>
      <c r="O429" s="2">
        <v>6733.0</v>
      </c>
      <c r="P429" s="2">
        <v>5894.0</v>
      </c>
      <c r="Q429" s="2">
        <v>3131.0</v>
      </c>
      <c r="R429" s="2">
        <v>167505.0</v>
      </c>
      <c r="S429" s="2">
        <v>122988.0</v>
      </c>
      <c r="T429" s="2">
        <v>44517.0</v>
      </c>
      <c r="U429" s="2">
        <v>122988.0</v>
      </c>
      <c r="V429" s="2">
        <v>0.0</v>
      </c>
      <c r="W429" s="2">
        <v>44517.0</v>
      </c>
    </row>
    <row r="430" ht="15.0" customHeight="1">
      <c r="A430" s="2">
        <v>2024.0</v>
      </c>
      <c r="B430" s="2" t="s">
        <v>57</v>
      </c>
      <c r="C430" s="2">
        <v>9.0</v>
      </c>
      <c r="D430" s="2" t="s">
        <v>58</v>
      </c>
      <c r="E430" s="2" t="s">
        <v>25</v>
      </c>
      <c r="F430" s="2" t="s">
        <v>48</v>
      </c>
      <c r="G430" s="2" t="s">
        <v>46</v>
      </c>
      <c r="H430" s="2" t="s">
        <v>47</v>
      </c>
      <c r="I430" s="2" t="s">
        <v>30</v>
      </c>
      <c r="J430" s="2">
        <v>6741.0</v>
      </c>
      <c r="K430" s="2">
        <v>1790.0</v>
      </c>
      <c r="L430" s="2">
        <v>808.0</v>
      </c>
      <c r="M430" s="2">
        <v>778.0</v>
      </c>
      <c r="N430" s="2">
        <v>777.0</v>
      </c>
      <c r="O430" s="2">
        <v>1770.0</v>
      </c>
      <c r="P430" s="2">
        <v>1547.0</v>
      </c>
      <c r="Q430" s="2">
        <v>865.0</v>
      </c>
      <c r="R430" s="2">
        <v>42605.0</v>
      </c>
      <c r="S430" s="2">
        <v>28708.0</v>
      </c>
      <c r="T430" s="2">
        <v>13898.0</v>
      </c>
      <c r="U430" s="2">
        <v>28708.0</v>
      </c>
      <c r="V430" s="2">
        <v>0.0</v>
      </c>
      <c r="W430" s="2">
        <v>13898.0</v>
      </c>
    </row>
    <row r="431" ht="15.0" customHeight="1">
      <c r="A431" s="2">
        <v>2024.0</v>
      </c>
      <c r="B431" s="2" t="s">
        <v>57</v>
      </c>
      <c r="C431" s="2">
        <v>9.0</v>
      </c>
      <c r="D431" s="2" t="s">
        <v>58</v>
      </c>
      <c r="E431" s="2" t="s">
        <v>25</v>
      </c>
      <c r="F431" s="2" t="s">
        <v>48</v>
      </c>
      <c r="G431" s="2" t="s">
        <v>46</v>
      </c>
      <c r="H431" s="2" t="s">
        <v>47</v>
      </c>
      <c r="I431" s="2" t="s">
        <v>31</v>
      </c>
      <c r="J431" s="2">
        <v>1519.0</v>
      </c>
      <c r="K431" s="2">
        <v>596.0</v>
      </c>
      <c r="L431" s="2">
        <v>348.0</v>
      </c>
      <c r="M431" s="2">
        <v>269.0</v>
      </c>
      <c r="N431" s="2">
        <v>268.0</v>
      </c>
      <c r="O431" s="2">
        <v>661.0</v>
      </c>
      <c r="P431" s="2">
        <v>577.0</v>
      </c>
      <c r="Q431" s="2">
        <v>319.0</v>
      </c>
      <c r="R431" s="2">
        <v>17904.0</v>
      </c>
      <c r="S431" s="2">
        <v>160.0</v>
      </c>
      <c r="T431" s="2">
        <v>17745.0</v>
      </c>
      <c r="U431" s="2">
        <v>160.0</v>
      </c>
      <c r="V431" s="2">
        <v>0.0</v>
      </c>
      <c r="W431" s="2">
        <v>17745.0</v>
      </c>
    </row>
    <row r="432" ht="15.0" customHeight="1">
      <c r="A432" s="2">
        <v>2025.0</v>
      </c>
      <c r="B432" s="2" t="s">
        <v>59</v>
      </c>
      <c r="C432" s="2">
        <v>4.0</v>
      </c>
      <c r="D432" s="2" t="s">
        <v>60</v>
      </c>
      <c r="E432" s="2" t="s">
        <v>61</v>
      </c>
      <c r="F432" s="2" t="s">
        <v>26</v>
      </c>
      <c r="G432" s="2" t="s">
        <v>27</v>
      </c>
      <c r="H432" s="2" t="s">
        <v>28</v>
      </c>
      <c r="I432" s="2" t="s">
        <v>29</v>
      </c>
      <c r="J432" s="2">
        <v>4886.0</v>
      </c>
      <c r="K432" s="2">
        <v>2652.0</v>
      </c>
      <c r="L432" s="2">
        <v>818.0</v>
      </c>
      <c r="M432" s="2">
        <v>781.0</v>
      </c>
      <c r="N432" s="2">
        <v>655.0</v>
      </c>
      <c r="O432" s="2">
        <v>1339.0</v>
      </c>
      <c r="P432" s="2">
        <v>1115.0</v>
      </c>
      <c r="Q432" s="2">
        <v>186.0</v>
      </c>
      <c r="R432" s="2">
        <v>20377.0</v>
      </c>
      <c r="S432" s="2">
        <v>12336.0</v>
      </c>
      <c r="T432" s="2">
        <v>8041.0</v>
      </c>
      <c r="U432" s="2">
        <v>11585.0</v>
      </c>
      <c r="V432" s="2">
        <v>751.0</v>
      </c>
      <c r="W432" s="2">
        <v>8792.0</v>
      </c>
    </row>
    <row r="433" ht="15.0" customHeight="1">
      <c r="A433" s="2">
        <v>2025.0</v>
      </c>
      <c r="B433" s="2" t="s">
        <v>59</v>
      </c>
      <c r="C433" s="2">
        <v>4.0</v>
      </c>
      <c r="D433" s="2" t="s">
        <v>60</v>
      </c>
      <c r="E433" s="2" t="s">
        <v>61</v>
      </c>
      <c r="F433" s="2" t="s">
        <v>26</v>
      </c>
      <c r="G433" s="2" t="s">
        <v>27</v>
      </c>
      <c r="H433" s="2" t="s">
        <v>28</v>
      </c>
      <c r="I433" s="2" t="s">
        <v>30</v>
      </c>
      <c r="J433" s="2">
        <v>2406.0</v>
      </c>
      <c r="K433" s="2">
        <v>963.0</v>
      </c>
      <c r="L433" s="2">
        <v>220.0</v>
      </c>
      <c r="M433" s="2">
        <v>213.0</v>
      </c>
      <c r="N433" s="2">
        <v>170.0</v>
      </c>
      <c r="O433" s="2">
        <v>349.0</v>
      </c>
      <c r="P433" s="2">
        <v>290.0</v>
      </c>
      <c r="Q433" s="2">
        <v>55.0</v>
      </c>
      <c r="R433" s="2">
        <v>5519.0</v>
      </c>
      <c r="S433" s="2">
        <v>4062.0</v>
      </c>
      <c r="T433" s="2">
        <v>1456.0</v>
      </c>
      <c r="U433" s="2">
        <v>4060.0</v>
      </c>
      <c r="V433" s="2">
        <v>2.0</v>
      </c>
      <c r="W433" s="2">
        <v>1459.0</v>
      </c>
    </row>
    <row r="434" ht="15.0" customHeight="1">
      <c r="A434" s="2">
        <v>2025.0</v>
      </c>
      <c r="B434" s="2" t="s">
        <v>59</v>
      </c>
      <c r="C434" s="2">
        <v>4.0</v>
      </c>
      <c r="D434" s="2" t="s">
        <v>60</v>
      </c>
      <c r="E434" s="2" t="s">
        <v>61</v>
      </c>
      <c r="F434" s="2" t="s">
        <v>26</v>
      </c>
      <c r="G434" s="2" t="s">
        <v>27</v>
      </c>
      <c r="H434" s="2" t="s">
        <v>28</v>
      </c>
      <c r="I434" s="2" t="s">
        <v>31</v>
      </c>
      <c r="J434" s="2">
        <v>384.0</v>
      </c>
      <c r="K434" s="2">
        <v>230.0</v>
      </c>
      <c r="L434" s="2">
        <v>183.0</v>
      </c>
      <c r="M434" s="2">
        <v>162.0</v>
      </c>
      <c r="N434" s="2">
        <v>133.0</v>
      </c>
      <c r="O434" s="2">
        <v>266.0</v>
      </c>
      <c r="P434" s="2">
        <v>231.0</v>
      </c>
      <c r="Q434" s="2">
        <v>45.0</v>
      </c>
      <c r="R434" s="2">
        <v>4379.0</v>
      </c>
      <c r="S434" s="2">
        <v>825.0</v>
      </c>
      <c r="T434" s="2">
        <v>3554.0</v>
      </c>
      <c r="U434" s="2">
        <v>825.0</v>
      </c>
      <c r="V434" s="2">
        <v>0.0</v>
      </c>
      <c r="W434" s="2">
        <v>3554.0</v>
      </c>
    </row>
    <row r="435" ht="15.0" customHeight="1">
      <c r="A435" s="2">
        <v>2025.0</v>
      </c>
      <c r="B435" s="2" t="s">
        <v>59</v>
      </c>
      <c r="C435" s="2">
        <v>4.0</v>
      </c>
      <c r="D435" s="2" t="s">
        <v>60</v>
      </c>
      <c r="E435" s="2" t="s">
        <v>61</v>
      </c>
      <c r="F435" s="2" t="s">
        <v>26</v>
      </c>
      <c r="G435" s="2" t="s">
        <v>32</v>
      </c>
      <c r="H435" s="2" t="s">
        <v>28</v>
      </c>
      <c r="I435" s="2" t="s">
        <v>29</v>
      </c>
      <c r="J435" s="2">
        <v>20109.0</v>
      </c>
      <c r="K435" s="2">
        <v>11480.0</v>
      </c>
      <c r="L435" s="2">
        <v>5815.0</v>
      </c>
      <c r="M435" s="2">
        <v>5538.0</v>
      </c>
      <c r="N435" s="2">
        <v>3369.0</v>
      </c>
      <c r="O435" s="2">
        <v>4136.0</v>
      </c>
      <c r="P435" s="2">
        <v>3518.0</v>
      </c>
      <c r="Q435" s="2">
        <v>0.0</v>
      </c>
      <c r="R435" s="2">
        <v>30569.0</v>
      </c>
      <c r="S435" s="2">
        <v>14970.0</v>
      </c>
      <c r="T435" s="2">
        <v>15598.0</v>
      </c>
      <c r="U435" s="2">
        <v>14259.0</v>
      </c>
      <c r="V435" s="2">
        <v>712.0</v>
      </c>
      <c r="W435" s="2">
        <v>16310.0</v>
      </c>
    </row>
    <row r="436" ht="15.0" customHeight="1">
      <c r="A436" s="2">
        <v>2025.0</v>
      </c>
      <c r="B436" s="2" t="s">
        <v>59</v>
      </c>
      <c r="C436" s="2">
        <v>4.0</v>
      </c>
      <c r="D436" s="2" t="s">
        <v>60</v>
      </c>
      <c r="E436" s="2" t="s">
        <v>61</v>
      </c>
      <c r="F436" s="2" t="s">
        <v>26</v>
      </c>
      <c r="G436" s="2" t="s">
        <v>32</v>
      </c>
      <c r="H436" s="2" t="s">
        <v>28</v>
      </c>
      <c r="I436" s="2" t="s">
        <v>30</v>
      </c>
      <c r="J436" s="2">
        <v>2871.0</v>
      </c>
      <c r="K436" s="2">
        <v>1484.0</v>
      </c>
      <c r="L436" s="2">
        <v>704.0</v>
      </c>
      <c r="M436" s="2">
        <v>666.0</v>
      </c>
      <c r="N436" s="2">
        <v>407.0</v>
      </c>
      <c r="O436" s="2">
        <v>489.0</v>
      </c>
      <c r="P436" s="2">
        <v>424.0</v>
      </c>
      <c r="Q436" s="2">
        <v>0.0</v>
      </c>
      <c r="R436" s="2">
        <v>3635.0</v>
      </c>
      <c r="S436" s="2">
        <v>1743.0</v>
      </c>
      <c r="T436" s="2">
        <v>1892.0</v>
      </c>
      <c r="U436" s="2">
        <v>1737.0</v>
      </c>
      <c r="V436" s="2">
        <v>6.0</v>
      </c>
      <c r="W436" s="2">
        <v>1898.0</v>
      </c>
    </row>
    <row r="437" ht="15.0" customHeight="1">
      <c r="A437" s="2">
        <v>2025.0</v>
      </c>
      <c r="B437" s="2" t="s">
        <v>59</v>
      </c>
      <c r="C437" s="2">
        <v>4.0</v>
      </c>
      <c r="D437" s="2" t="s">
        <v>60</v>
      </c>
      <c r="E437" s="2" t="s">
        <v>61</v>
      </c>
      <c r="F437" s="2" t="s">
        <v>26</v>
      </c>
      <c r="G437" s="2" t="s">
        <v>32</v>
      </c>
      <c r="H437" s="2" t="s">
        <v>28</v>
      </c>
      <c r="I437" s="2" t="s">
        <v>31</v>
      </c>
      <c r="J437" s="2">
        <v>8325.0</v>
      </c>
      <c r="K437" s="2">
        <v>4987.0</v>
      </c>
      <c r="L437" s="2">
        <v>3547.0</v>
      </c>
      <c r="M437" s="2">
        <v>3298.0</v>
      </c>
      <c r="N437" s="2">
        <v>1932.0</v>
      </c>
      <c r="O437" s="2">
        <v>2397.0</v>
      </c>
      <c r="P437" s="2">
        <v>2022.0</v>
      </c>
      <c r="Q437" s="2">
        <v>0.0</v>
      </c>
      <c r="R437" s="2">
        <v>17269.0</v>
      </c>
      <c r="S437" s="2">
        <v>1161.0</v>
      </c>
      <c r="T437" s="2">
        <v>16109.0</v>
      </c>
      <c r="U437" s="2">
        <v>1161.0</v>
      </c>
      <c r="V437" s="2">
        <v>0.0</v>
      </c>
      <c r="W437" s="2">
        <v>16109.0</v>
      </c>
    </row>
    <row r="438" ht="15.0" customHeight="1">
      <c r="A438" s="2">
        <v>2025.0</v>
      </c>
      <c r="B438" s="2" t="s">
        <v>59</v>
      </c>
      <c r="C438" s="2">
        <v>4.0</v>
      </c>
      <c r="D438" s="2" t="s">
        <v>60</v>
      </c>
      <c r="E438" s="2" t="s">
        <v>61</v>
      </c>
      <c r="F438" s="2" t="s">
        <v>26</v>
      </c>
      <c r="G438" s="2" t="s">
        <v>33</v>
      </c>
      <c r="H438" s="2" t="s">
        <v>28</v>
      </c>
      <c r="I438" s="2" t="s">
        <v>29</v>
      </c>
      <c r="J438" s="2">
        <v>8027.0</v>
      </c>
      <c r="K438" s="2">
        <v>4343.0</v>
      </c>
      <c r="L438" s="2">
        <v>1907.0</v>
      </c>
      <c r="M438" s="2">
        <v>1827.0</v>
      </c>
      <c r="N438" s="2">
        <v>1282.0</v>
      </c>
      <c r="O438" s="2">
        <v>1902.0</v>
      </c>
      <c r="P438" s="2">
        <v>1800.0</v>
      </c>
      <c r="Q438" s="2">
        <v>385.0</v>
      </c>
      <c r="R438" s="2">
        <v>17909.0</v>
      </c>
      <c r="S438" s="2">
        <v>11212.0</v>
      </c>
      <c r="T438" s="2">
        <v>6696.0</v>
      </c>
      <c r="U438" s="2">
        <v>11078.0</v>
      </c>
      <c r="V438" s="2">
        <v>135.0</v>
      </c>
      <c r="W438" s="2">
        <v>6831.0</v>
      </c>
    </row>
    <row r="439" ht="15.0" customHeight="1">
      <c r="A439" s="2">
        <v>2025.0</v>
      </c>
      <c r="B439" s="2" t="s">
        <v>59</v>
      </c>
      <c r="C439" s="2">
        <v>4.0</v>
      </c>
      <c r="D439" s="2" t="s">
        <v>60</v>
      </c>
      <c r="E439" s="2" t="s">
        <v>61</v>
      </c>
      <c r="F439" s="2" t="s">
        <v>26</v>
      </c>
      <c r="G439" s="2" t="s">
        <v>33</v>
      </c>
      <c r="H439" s="2" t="s">
        <v>28</v>
      </c>
      <c r="I439" s="2" t="s">
        <v>30</v>
      </c>
      <c r="J439" s="2">
        <v>3125.0</v>
      </c>
      <c r="K439" s="2">
        <v>1686.0</v>
      </c>
      <c r="L439" s="2">
        <v>653.0</v>
      </c>
      <c r="M439" s="2">
        <v>621.0</v>
      </c>
      <c r="N439" s="2">
        <v>394.0</v>
      </c>
      <c r="O439" s="2">
        <v>546.0</v>
      </c>
      <c r="P439" s="2">
        <v>513.0</v>
      </c>
      <c r="Q439" s="2">
        <v>60.0</v>
      </c>
      <c r="R439" s="2">
        <v>4658.0</v>
      </c>
      <c r="S439" s="2">
        <v>2608.0</v>
      </c>
      <c r="T439" s="2">
        <v>2050.0</v>
      </c>
      <c r="U439" s="2">
        <v>2608.0</v>
      </c>
      <c r="V439" s="2">
        <v>0.0</v>
      </c>
      <c r="W439" s="2">
        <v>2050.0</v>
      </c>
    </row>
    <row r="440" ht="15.0" customHeight="1">
      <c r="A440" s="2">
        <v>2025.0</v>
      </c>
      <c r="B440" s="2" t="s">
        <v>59</v>
      </c>
      <c r="C440" s="2">
        <v>4.0</v>
      </c>
      <c r="D440" s="2" t="s">
        <v>60</v>
      </c>
      <c r="E440" s="2" t="s">
        <v>61</v>
      </c>
      <c r="F440" s="2" t="s">
        <v>26</v>
      </c>
      <c r="G440" s="2" t="s">
        <v>33</v>
      </c>
      <c r="H440" s="2" t="s">
        <v>28</v>
      </c>
      <c r="I440" s="2" t="s">
        <v>31</v>
      </c>
      <c r="J440" s="2">
        <v>292.0</v>
      </c>
      <c r="K440" s="2">
        <v>145.0</v>
      </c>
      <c r="L440" s="2">
        <v>111.0</v>
      </c>
      <c r="M440" s="2">
        <v>89.0</v>
      </c>
      <c r="N440" s="2">
        <v>55.0</v>
      </c>
      <c r="O440" s="2">
        <v>66.0</v>
      </c>
      <c r="P440" s="2">
        <v>59.0</v>
      </c>
      <c r="Q440" s="2">
        <v>4.0</v>
      </c>
      <c r="R440" s="2">
        <v>590.0</v>
      </c>
      <c r="S440" s="2">
        <v>88.0</v>
      </c>
      <c r="T440" s="2">
        <v>502.0</v>
      </c>
      <c r="U440" s="2">
        <v>88.0</v>
      </c>
      <c r="V440" s="2">
        <v>0.0</v>
      </c>
      <c r="W440" s="2">
        <v>502.0</v>
      </c>
    </row>
    <row r="441" ht="15.0" customHeight="1">
      <c r="A441" s="2">
        <v>2025.0</v>
      </c>
      <c r="B441" s="2" t="s">
        <v>59</v>
      </c>
      <c r="C441" s="2">
        <v>4.0</v>
      </c>
      <c r="D441" s="2" t="s">
        <v>60</v>
      </c>
      <c r="E441" s="2" t="s">
        <v>61</v>
      </c>
      <c r="F441" s="2" t="s">
        <v>26</v>
      </c>
      <c r="G441" s="2" t="s">
        <v>34</v>
      </c>
      <c r="H441" s="2" t="s">
        <v>35</v>
      </c>
      <c r="I441" s="2" t="s">
        <v>29</v>
      </c>
      <c r="J441" s="2">
        <v>10237.0</v>
      </c>
      <c r="K441" s="2">
        <v>6510.0</v>
      </c>
      <c r="L441" s="2">
        <v>3347.0</v>
      </c>
      <c r="M441" s="2">
        <v>3200.0</v>
      </c>
      <c r="N441" s="2">
        <v>1133.0</v>
      </c>
      <c r="O441" s="2">
        <v>1492.0</v>
      </c>
      <c r="P441" s="2">
        <v>1178.0</v>
      </c>
      <c r="Q441" s="2">
        <v>168.0</v>
      </c>
      <c r="R441" s="2">
        <v>13583.0</v>
      </c>
      <c r="S441" s="2">
        <v>9076.0</v>
      </c>
      <c r="T441" s="2">
        <v>4507.0</v>
      </c>
      <c r="U441" s="2">
        <v>8228.0</v>
      </c>
      <c r="V441" s="2">
        <v>849.0</v>
      </c>
      <c r="W441" s="2">
        <v>5356.0</v>
      </c>
    </row>
    <row r="442" ht="15.0" customHeight="1">
      <c r="A442" s="2">
        <v>2025.0</v>
      </c>
      <c r="B442" s="2" t="s">
        <v>59</v>
      </c>
      <c r="C442" s="2">
        <v>4.0</v>
      </c>
      <c r="D442" s="2" t="s">
        <v>60</v>
      </c>
      <c r="E442" s="2" t="s">
        <v>61</v>
      </c>
      <c r="F442" s="2" t="s">
        <v>26</v>
      </c>
      <c r="G442" s="2" t="s">
        <v>34</v>
      </c>
      <c r="H442" s="2" t="s">
        <v>35</v>
      </c>
      <c r="I442" s="2" t="s">
        <v>30</v>
      </c>
      <c r="J442" s="2">
        <v>3333.0</v>
      </c>
      <c r="K442" s="2">
        <v>1811.0</v>
      </c>
      <c r="L442" s="2">
        <v>806.0</v>
      </c>
      <c r="M442" s="2">
        <v>764.0</v>
      </c>
      <c r="N442" s="2">
        <v>264.0</v>
      </c>
      <c r="O442" s="2">
        <v>376.0</v>
      </c>
      <c r="P442" s="2">
        <v>304.0</v>
      </c>
      <c r="Q442" s="2">
        <v>35.0</v>
      </c>
      <c r="R442" s="2">
        <v>3885.0</v>
      </c>
      <c r="S442" s="2">
        <v>2134.0</v>
      </c>
      <c r="T442" s="2">
        <v>1751.0</v>
      </c>
      <c r="U442" s="2">
        <v>2134.0</v>
      </c>
      <c r="V442" s="2">
        <v>0.0</v>
      </c>
      <c r="W442" s="2">
        <v>1751.0</v>
      </c>
    </row>
    <row r="443" ht="15.0" customHeight="1">
      <c r="A443" s="2">
        <v>2025.0</v>
      </c>
      <c r="B443" s="2" t="s">
        <v>59</v>
      </c>
      <c r="C443" s="2">
        <v>4.0</v>
      </c>
      <c r="D443" s="2" t="s">
        <v>60</v>
      </c>
      <c r="E443" s="2" t="s">
        <v>61</v>
      </c>
      <c r="F443" s="2" t="s">
        <v>26</v>
      </c>
      <c r="G443" s="2" t="s">
        <v>34</v>
      </c>
      <c r="H443" s="2" t="s">
        <v>35</v>
      </c>
      <c r="I443" s="2" t="s">
        <v>31</v>
      </c>
      <c r="J443" s="2">
        <v>831.0</v>
      </c>
      <c r="K443" s="2">
        <v>536.0</v>
      </c>
      <c r="L443" s="2">
        <v>305.0</v>
      </c>
      <c r="M443" s="2">
        <v>272.0</v>
      </c>
      <c r="N443" s="2">
        <v>91.0</v>
      </c>
      <c r="O443" s="2">
        <v>134.0</v>
      </c>
      <c r="P443" s="2">
        <v>108.0</v>
      </c>
      <c r="Q443" s="2">
        <v>15.0</v>
      </c>
      <c r="R443" s="2">
        <v>1265.0</v>
      </c>
      <c r="S443" s="2">
        <v>5.0</v>
      </c>
      <c r="T443" s="2">
        <v>1260.0</v>
      </c>
      <c r="U443" s="2">
        <v>5.0</v>
      </c>
      <c r="V443" s="2">
        <v>0.0</v>
      </c>
      <c r="W443" s="2">
        <v>1260.0</v>
      </c>
    </row>
    <row r="444" ht="15.0" customHeight="1">
      <c r="A444" s="2">
        <v>2025.0</v>
      </c>
      <c r="B444" s="2" t="s">
        <v>59</v>
      </c>
      <c r="C444" s="2">
        <v>4.0</v>
      </c>
      <c r="D444" s="2" t="s">
        <v>60</v>
      </c>
      <c r="E444" s="2" t="s">
        <v>61</v>
      </c>
      <c r="F444" s="2" t="s">
        <v>26</v>
      </c>
      <c r="G444" s="2" t="s">
        <v>36</v>
      </c>
      <c r="H444" s="2" t="s">
        <v>35</v>
      </c>
      <c r="I444" s="2" t="s">
        <v>29</v>
      </c>
      <c r="J444" s="2">
        <v>4387.0</v>
      </c>
      <c r="K444" s="2">
        <v>3019.0</v>
      </c>
      <c r="L444" s="2">
        <v>1857.0</v>
      </c>
      <c r="M444" s="2">
        <v>1789.0</v>
      </c>
      <c r="N444" s="2">
        <v>787.0</v>
      </c>
      <c r="O444" s="2">
        <v>981.0</v>
      </c>
      <c r="P444" s="2">
        <v>775.0</v>
      </c>
      <c r="Q444" s="2">
        <v>0.0</v>
      </c>
      <c r="R444" s="2">
        <v>8528.0</v>
      </c>
      <c r="S444" s="2">
        <v>4801.0</v>
      </c>
      <c r="T444" s="2">
        <v>3727.0</v>
      </c>
      <c r="U444" s="2">
        <v>4801.0</v>
      </c>
      <c r="V444" s="2">
        <v>0.0</v>
      </c>
      <c r="W444" s="2">
        <v>3727.0</v>
      </c>
    </row>
    <row r="445" ht="15.0" customHeight="1">
      <c r="A445" s="2">
        <v>2025.0</v>
      </c>
      <c r="B445" s="2" t="s">
        <v>59</v>
      </c>
      <c r="C445" s="2">
        <v>4.0</v>
      </c>
      <c r="D445" s="2" t="s">
        <v>60</v>
      </c>
      <c r="E445" s="2" t="s">
        <v>61</v>
      </c>
      <c r="F445" s="2" t="s">
        <v>26</v>
      </c>
      <c r="G445" s="2" t="s">
        <v>36</v>
      </c>
      <c r="H445" s="2" t="s">
        <v>35</v>
      </c>
      <c r="I445" s="2" t="s">
        <v>30</v>
      </c>
      <c r="J445" s="2">
        <v>651.0</v>
      </c>
      <c r="K445" s="2">
        <v>314.0</v>
      </c>
      <c r="L445" s="2">
        <v>175.0</v>
      </c>
      <c r="M445" s="2">
        <v>166.0</v>
      </c>
      <c r="N445" s="2">
        <v>68.0</v>
      </c>
      <c r="O445" s="2">
        <v>96.0</v>
      </c>
      <c r="P445" s="2">
        <v>81.0</v>
      </c>
      <c r="Q445" s="2">
        <v>0.0</v>
      </c>
      <c r="R445" s="2">
        <v>929.0</v>
      </c>
      <c r="S445" s="2">
        <v>439.0</v>
      </c>
      <c r="T445" s="2">
        <v>490.0</v>
      </c>
      <c r="U445" s="2">
        <v>427.0</v>
      </c>
      <c r="V445" s="2">
        <v>12.0</v>
      </c>
      <c r="W445" s="2">
        <v>502.0</v>
      </c>
    </row>
    <row r="446" ht="15.0" customHeight="1">
      <c r="A446" s="2">
        <v>2025.0</v>
      </c>
      <c r="B446" s="2" t="s">
        <v>59</v>
      </c>
      <c r="C446" s="2">
        <v>4.0</v>
      </c>
      <c r="D446" s="2" t="s">
        <v>60</v>
      </c>
      <c r="E446" s="2" t="s">
        <v>61</v>
      </c>
      <c r="F446" s="2" t="s">
        <v>26</v>
      </c>
      <c r="G446" s="2" t="s">
        <v>36</v>
      </c>
      <c r="H446" s="2" t="s">
        <v>35</v>
      </c>
      <c r="I446" s="2" t="s">
        <v>31</v>
      </c>
      <c r="J446" s="2">
        <v>482.0</v>
      </c>
      <c r="K446" s="2">
        <v>327.0</v>
      </c>
      <c r="L446" s="2">
        <v>189.0</v>
      </c>
      <c r="M446" s="2">
        <v>170.0</v>
      </c>
      <c r="N446" s="2">
        <v>76.0</v>
      </c>
      <c r="O446" s="2">
        <v>118.0</v>
      </c>
      <c r="P446" s="2">
        <v>91.0</v>
      </c>
      <c r="Q446" s="2">
        <v>0.0</v>
      </c>
      <c r="R446" s="2">
        <v>1025.0</v>
      </c>
      <c r="S446" s="2">
        <v>0.0</v>
      </c>
      <c r="T446" s="2">
        <v>1025.0</v>
      </c>
      <c r="U446" s="2">
        <v>0.0</v>
      </c>
      <c r="V446" s="2">
        <v>0.0</v>
      </c>
      <c r="W446" s="2">
        <v>1025.0</v>
      </c>
    </row>
    <row r="447" ht="15.0" customHeight="1">
      <c r="A447" s="2">
        <v>2025.0</v>
      </c>
      <c r="B447" s="2" t="s">
        <v>59</v>
      </c>
      <c r="C447" s="2">
        <v>4.0</v>
      </c>
      <c r="D447" s="2" t="s">
        <v>60</v>
      </c>
      <c r="E447" s="2" t="s">
        <v>61</v>
      </c>
      <c r="F447" s="2" t="s">
        <v>26</v>
      </c>
      <c r="G447" s="2" t="s">
        <v>37</v>
      </c>
      <c r="H447" s="2" t="s">
        <v>35</v>
      </c>
      <c r="I447" s="2" t="s">
        <v>29</v>
      </c>
      <c r="J447" s="2">
        <v>790.0</v>
      </c>
      <c r="K447" s="2">
        <v>415.0</v>
      </c>
      <c r="L447" s="2">
        <v>190.0</v>
      </c>
      <c r="M447" s="2">
        <v>168.0</v>
      </c>
      <c r="N447" s="2">
        <v>144.0</v>
      </c>
      <c r="O447" s="2">
        <v>408.0</v>
      </c>
      <c r="P447" s="2">
        <v>328.0</v>
      </c>
      <c r="Q447" s="2">
        <v>0.0</v>
      </c>
      <c r="R447" s="2">
        <v>7389.0</v>
      </c>
      <c r="S447" s="2">
        <v>3323.0</v>
      </c>
      <c r="T447" s="2">
        <v>4066.0</v>
      </c>
      <c r="U447" s="2">
        <v>3323.0</v>
      </c>
      <c r="V447" s="2">
        <v>0.0</v>
      </c>
      <c r="W447" s="2">
        <v>4066.0</v>
      </c>
    </row>
    <row r="448" ht="15.0" customHeight="1">
      <c r="A448" s="2">
        <v>2025.0</v>
      </c>
      <c r="B448" s="2" t="s">
        <v>59</v>
      </c>
      <c r="C448" s="2">
        <v>4.0</v>
      </c>
      <c r="D448" s="2" t="s">
        <v>60</v>
      </c>
      <c r="E448" s="2" t="s">
        <v>61</v>
      </c>
      <c r="F448" s="2" t="s">
        <v>26</v>
      </c>
      <c r="G448" s="2" t="s">
        <v>37</v>
      </c>
      <c r="H448" s="2" t="s">
        <v>35</v>
      </c>
      <c r="I448" s="2" t="s">
        <v>30</v>
      </c>
      <c r="J448" s="2">
        <v>1.0</v>
      </c>
      <c r="K448" s="2">
        <v>1.0</v>
      </c>
      <c r="L448" s="2">
        <v>1.0</v>
      </c>
      <c r="M448" s="2">
        <v>1.0</v>
      </c>
      <c r="N448" s="2">
        <v>1.0</v>
      </c>
      <c r="O448" s="2">
        <v>5.0</v>
      </c>
      <c r="P448" s="2">
        <v>5.0</v>
      </c>
      <c r="Q448" s="2">
        <v>0.0</v>
      </c>
      <c r="R448" s="2">
        <v>91.0</v>
      </c>
      <c r="S448" s="2">
        <v>0.0</v>
      </c>
      <c r="T448" s="2">
        <v>91.0</v>
      </c>
      <c r="U448" s="2">
        <v>0.0</v>
      </c>
      <c r="V448" s="2">
        <v>0.0</v>
      </c>
      <c r="W448" s="2">
        <v>91.0</v>
      </c>
    </row>
    <row r="449" ht="15.0" customHeight="1">
      <c r="A449" s="2">
        <v>2025.0</v>
      </c>
      <c r="B449" s="2" t="s">
        <v>59</v>
      </c>
      <c r="C449" s="2">
        <v>4.0</v>
      </c>
      <c r="D449" s="2" t="s">
        <v>60</v>
      </c>
      <c r="E449" s="2" t="s">
        <v>61</v>
      </c>
      <c r="F449" s="2" t="s">
        <v>26</v>
      </c>
      <c r="G449" s="2" t="s">
        <v>37</v>
      </c>
      <c r="H449" s="2" t="s">
        <v>35</v>
      </c>
      <c r="I449" s="2" t="s">
        <v>31</v>
      </c>
      <c r="J449" s="2">
        <v>31.0</v>
      </c>
      <c r="K449" s="2">
        <v>23.0</v>
      </c>
      <c r="L449" s="2">
        <v>15.0</v>
      </c>
      <c r="M449" s="2">
        <v>14.0</v>
      </c>
      <c r="N449" s="2">
        <v>12.0</v>
      </c>
      <c r="O449" s="2">
        <v>36.0</v>
      </c>
      <c r="P449" s="2">
        <v>29.0</v>
      </c>
      <c r="Q449" s="2">
        <v>0.0</v>
      </c>
      <c r="R449" s="2">
        <v>569.0</v>
      </c>
      <c r="S449" s="2">
        <v>0.0</v>
      </c>
      <c r="T449" s="2">
        <v>569.0</v>
      </c>
      <c r="U449" s="2">
        <v>0.0</v>
      </c>
      <c r="V449" s="2">
        <v>0.0</v>
      </c>
      <c r="W449" s="2">
        <v>569.0</v>
      </c>
    </row>
    <row r="450" ht="15.0" customHeight="1">
      <c r="A450" s="2">
        <v>2025.0</v>
      </c>
      <c r="B450" s="2" t="s">
        <v>59</v>
      </c>
      <c r="C450" s="2">
        <v>4.0</v>
      </c>
      <c r="D450" s="2" t="s">
        <v>60</v>
      </c>
      <c r="E450" s="2" t="s">
        <v>61</v>
      </c>
      <c r="F450" s="2" t="s">
        <v>26</v>
      </c>
      <c r="G450" s="2" t="s">
        <v>38</v>
      </c>
      <c r="H450" s="2" t="s">
        <v>35</v>
      </c>
      <c r="I450" s="2" t="s">
        <v>29</v>
      </c>
      <c r="J450" s="2">
        <v>2977.0</v>
      </c>
      <c r="K450" s="2">
        <v>1708.0</v>
      </c>
      <c r="L450" s="2">
        <v>969.0</v>
      </c>
      <c r="M450" s="2">
        <v>937.0</v>
      </c>
      <c r="N450" s="2">
        <v>645.0</v>
      </c>
      <c r="O450" s="2">
        <v>1043.0</v>
      </c>
      <c r="P450" s="2">
        <v>853.0</v>
      </c>
      <c r="Q450" s="2">
        <v>30.0</v>
      </c>
      <c r="R450" s="2">
        <v>11867.0</v>
      </c>
      <c r="S450" s="2">
        <v>5608.0</v>
      </c>
      <c r="T450" s="2">
        <v>6259.0</v>
      </c>
      <c r="U450" s="2">
        <v>5506.0</v>
      </c>
      <c r="V450" s="2">
        <v>102.0</v>
      </c>
      <c r="W450" s="2">
        <v>6361.0</v>
      </c>
    </row>
    <row r="451" ht="15.0" customHeight="1">
      <c r="A451" s="2">
        <v>2025.0</v>
      </c>
      <c r="B451" s="2" t="s">
        <v>59</v>
      </c>
      <c r="C451" s="2">
        <v>4.0</v>
      </c>
      <c r="D451" s="2" t="s">
        <v>60</v>
      </c>
      <c r="E451" s="2" t="s">
        <v>61</v>
      </c>
      <c r="F451" s="2" t="s">
        <v>26</v>
      </c>
      <c r="G451" s="2" t="s">
        <v>38</v>
      </c>
      <c r="H451" s="2" t="s">
        <v>35</v>
      </c>
      <c r="I451" s="2" t="s">
        <v>30</v>
      </c>
      <c r="J451" s="2">
        <v>2664.0</v>
      </c>
      <c r="K451" s="2">
        <v>1111.0</v>
      </c>
      <c r="L451" s="2">
        <v>705.0</v>
      </c>
      <c r="M451" s="2">
        <v>684.0</v>
      </c>
      <c r="N451" s="2">
        <v>444.0</v>
      </c>
      <c r="O451" s="2">
        <v>688.0</v>
      </c>
      <c r="P451" s="2">
        <v>547.0</v>
      </c>
      <c r="Q451" s="2">
        <v>16.0</v>
      </c>
      <c r="R451" s="2">
        <v>7511.0</v>
      </c>
      <c r="S451" s="2">
        <v>5214.0</v>
      </c>
      <c r="T451" s="2">
        <v>2298.0</v>
      </c>
      <c r="U451" s="2">
        <v>5210.0</v>
      </c>
      <c r="V451" s="2">
        <v>3.0</v>
      </c>
      <c r="W451" s="2">
        <v>2301.0</v>
      </c>
    </row>
    <row r="452" ht="15.0" customHeight="1">
      <c r="A452" s="2">
        <v>2025.0</v>
      </c>
      <c r="B452" s="2" t="s">
        <v>59</v>
      </c>
      <c r="C452" s="2">
        <v>4.0</v>
      </c>
      <c r="D452" s="2" t="s">
        <v>60</v>
      </c>
      <c r="E452" s="2" t="s">
        <v>61</v>
      </c>
      <c r="F452" s="2" t="s">
        <v>26</v>
      </c>
      <c r="G452" s="2" t="s">
        <v>38</v>
      </c>
      <c r="H452" s="2" t="s">
        <v>35</v>
      </c>
      <c r="I452" s="2" t="s">
        <v>31</v>
      </c>
      <c r="J452" s="2">
        <v>562.0</v>
      </c>
      <c r="K452" s="2">
        <v>303.0</v>
      </c>
      <c r="L452" s="2">
        <v>184.0</v>
      </c>
      <c r="M452" s="2">
        <v>159.0</v>
      </c>
      <c r="N452" s="2">
        <v>108.0</v>
      </c>
      <c r="O452" s="2">
        <v>176.0</v>
      </c>
      <c r="P452" s="2">
        <v>142.0</v>
      </c>
      <c r="Q452" s="2">
        <v>4.0</v>
      </c>
      <c r="R452" s="2">
        <v>2002.0</v>
      </c>
      <c r="S452" s="2">
        <v>10.0</v>
      </c>
      <c r="T452" s="2">
        <v>1992.0</v>
      </c>
      <c r="U452" s="2">
        <v>10.0</v>
      </c>
      <c r="V452" s="2">
        <v>0.0</v>
      </c>
      <c r="W452" s="2">
        <v>1992.0</v>
      </c>
    </row>
    <row r="453" ht="15.0" customHeight="1">
      <c r="A453" s="2">
        <v>2025.0</v>
      </c>
      <c r="B453" s="2" t="s">
        <v>59</v>
      </c>
      <c r="C453" s="2">
        <v>4.0</v>
      </c>
      <c r="D453" s="2" t="s">
        <v>60</v>
      </c>
      <c r="E453" s="2" t="s">
        <v>61</v>
      </c>
      <c r="F453" s="2" t="s">
        <v>26</v>
      </c>
      <c r="G453" s="2" t="s">
        <v>39</v>
      </c>
      <c r="H453" s="2" t="s">
        <v>40</v>
      </c>
      <c r="I453" s="2" t="s">
        <v>29</v>
      </c>
      <c r="J453" s="2">
        <v>9639.0</v>
      </c>
      <c r="K453" s="2">
        <v>6282.0</v>
      </c>
      <c r="L453" s="2">
        <v>3506.0</v>
      </c>
      <c r="M453" s="2">
        <v>3266.0</v>
      </c>
      <c r="N453" s="2">
        <v>1388.0</v>
      </c>
      <c r="O453" s="2">
        <v>1740.0</v>
      </c>
      <c r="P453" s="2">
        <v>1237.0</v>
      </c>
      <c r="Q453" s="2">
        <v>0.0</v>
      </c>
      <c r="R453" s="2">
        <v>16994.0</v>
      </c>
      <c r="S453" s="2">
        <v>9994.0</v>
      </c>
      <c r="T453" s="2">
        <v>7000.0</v>
      </c>
      <c r="U453" s="2">
        <v>8981.0</v>
      </c>
      <c r="V453" s="2">
        <v>1014.0</v>
      </c>
      <c r="W453" s="2">
        <v>8013.0</v>
      </c>
    </row>
    <row r="454" ht="15.0" customHeight="1">
      <c r="A454" s="2">
        <v>2025.0</v>
      </c>
      <c r="B454" s="2" t="s">
        <v>59</v>
      </c>
      <c r="C454" s="2">
        <v>4.0</v>
      </c>
      <c r="D454" s="2" t="s">
        <v>60</v>
      </c>
      <c r="E454" s="2" t="s">
        <v>61</v>
      </c>
      <c r="F454" s="2" t="s">
        <v>26</v>
      </c>
      <c r="G454" s="2" t="s">
        <v>39</v>
      </c>
      <c r="H454" s="2" t="s">
        <v>40</v>
      </c>
      <c r="I454" s="2" t="s">
        <v>30</v>
      </c>
      <c r="J454" s="2">
        <v>1391.0</v>
      </c>
      <c r="K454" s="2">
        <v>712.0</v>
      </c>
      <c r="L454" s="2">
        <v>308.0</v>
      </c>
      <c r="M454" s="2">
        <v>281.0</v>
      </c>
      <c r="N454" s="2">
        <v>110.0</v>
      </c>
      <c r="O454" s="2">
        <v>135.0</v>
      </c>
      <c r="P454" s="2">
        <v>97.0</v>
      </c>
      <c r="Q454" s="2">
        <v>0.0</v>
      </c>
      <c r="R454" s="2">
        <v>1197.0</v>
      </c>
      <c r="S454" s="2">
        <v>673.0</v>
      </c>
      <c r="T454" s="2">
        <v>524.0</v>
      </c>
      <c r="U454" s="2">
        <v>668.0</v>
      </c>
      <c r="V454" s="2">
        <v>5.0</v>
      </c>
      <c r="W454" s="2">
        <v>529.0</v>
      </c>
    </row>
    <row r="455" ht="15.0" customHeight="1">
      <c r="A455" s="2">
        <v>2025.0</v>
      </c>
      <c r="B455" s="2" t="s">
        <v>59</v>
      </c>
      <c r="C455" s="2">
        <v>4.0</v>
      </c>
      <c r="D455" s="2" t="s">
        <v>60</v>
      </c>
      <c r="E455" s="2" t="s">
        <v>61</v>
      </c>
      <c r="F455" s="2" t="s">
        <v>26</v>
      </c>
      <c r="G455" s="2" t="s">
        <v>39</v>
      </c>
      <c r="H455" s="2" t="s">
        <v>40</v>
      </c>
      <c r="I455" s="2" t="s">
        <v>31</v>
      </c>
      <c r="J455" s="2">
        <v>2509.0</v>
      </c>
      <c r="K455" s="2">
        <v>1692.0</v>
      </c>
      <c r="L455" s="2">
        <v>804.0</v>
      </c>
      <c r="M455" s="2">
        <v>688.0</v>
      </c>
      <c r="N455" s="2">
        <v>281.0</v>
      </c>
      <c r="O455" s="2">
        <v>376.0</v>
      </c>
      <c r="P455" s="2">
        <v>266.0</v>
      </c>
      <c r="Q455" s="2">
        <v>0.0</v>
      </c>
      <c r="R455" s="2">
        <v>3468.0</v>
      </c>
      <c r="S455" s="2">
        <v>0.0</v>
      </c>
      <c r="T455" s="2">
        <v>3468.0</v>
      </c>
      <c r="U455" s="2">
        <v>0.0</v>
      </c>
      <c r="V455" s="2">
        <v>0.0</v>
      </c>
      <c r="W455" s="2">
        <v>3468.0</v>
      </c>
    </row>
    <row r="456" ht="15.0" customHeight="1">
      <c r="A456" s="2">
        <v>2025.0</v>
      </c>
      <c r="B456" s="2" t="s">
        <v>59</v>
      </c>
      <c r="C456" s="2">
        <v>4.0</v>
      </c>
      <c r="D456" s="2" t="s">
        <v>60</v>
      </c>
      <c r="E456" s="2" t="s">
        <v>61</v>
      </c>
      <c r="F456" s="2" t="s">
        <v>26</v>
      </c>
      <c r="G456" s="2" t="s">
        <v>41</v>
      </c>
      <c r="H456" s="2" t="s">
        <v>42</v>
      </c>
      <c r="I456" s="2" t="s">
        <v>29</v>
      </c>
      <c r="J456" s="2">
        <v>24659.0</v>
      </c>
      <c r="K456" s="2">
        <v>14761.0</v>
      </c>
      <c r="L456" s="2">
        <v>7487.0</v>
      </c>
      <c r="M456" s="2">
        <v>7041.0</v>
      </c>
      <c r="N456" s="2">
        <v>4234.0</v>
      </c>
      <c r="O456" s="2">
        <v>5512.0</v>
      </c>
      <c r="P456" s="2">
        <v>4594.0</v>
      </c>
      <c r="Q456" s="2">
        <v>23.0</v>
      </c>
      <c r="R456" s="2">
        <v>36594.0</v>
      </c>
      <c r="S456" s="2">
        <v>20190.0</v>
      </c>
      <c r="T456" s="2">
        <v>16404.0</v>
      </c>
      <c r="U456" s="2">
        <v>19334.0</v>
      </c>
      <c r="V456" s="2">
        <v>856.0</v>
      </c>
      <c r="W456" s="2">
        <v>17260.0</v>
      </c>
    </row>
    <row r="457" ht="15.0" customHeight="1">
      <c r="A457" s="2">
        <v>2025.0</v>
      </c>
      <c r="B457" s="2" t="s">
        <v>59</v>
      </c>
      <c r="C457" s="2">
        <v>4.0</v>
      </c>
      <c r="D457" s="2" t="s">
        <v>60</v>
      </c>
      <c r="E457" s="2" t="s">
        <v>61</v>
      </c>
      <c r="F457" s="2" t="s">
        <v>26</v>
      </c>
      <c r="G457" s="2" t="s">
        <v>41</v>
      </c>
      <c r="H457" s="2" t="s">
        <v>42</v>
      </c>
      <c r="I457" s="2" t="s">
        <v>30</v>
      </c>
      <c r="J457" s="2">
        <v>7059.0</v>
      </c>
      <c r="K457" s="2">
        <v>3414.0</v>
      </c>
      <c r="L457" s="2">
        <v>1899.0</v>
      </c>
      <c r="M457" s="2">
        <v>1813.0</v>
      </c>
      <c r="N457" s="2">
        <v>1065.0</v>
      </c>
      <c r="O457" s="2">
        <v>1354.0</v>
      </c>
      <c r="P457" s="2">
        <v>1109.0</v>
      </c>
      <c r="Q457" s="2">
        <v>2.0</v>
      </c>
      <c r="R457" s="2">
        <v>8382.0</v>
      </c>
      <c r="S457" s="2">
        <v>5259.0</v>
      </c>
      <c r="T457" s="2">
        <v>3123.0</v>
      </c>
      <c r="U457" s="2">
        <v>5250.0</v>
      </c>
      <c r="V457" s="2">
        <v>9.0</v>
      </c>
      <c r="W457" s="2">
        <v>3132.0</v>
      </c>
    </row>
    <row r="458" ht="15.0" customHeight="1">
      <c r="A458" s="2">
        <v>2025.0</v>
      </c>
      <c r="B458" s="2" t="s">
        <v>59</v>
      </c>
      <c r="C458" s="2">
        <v>4.0</v>
      </c>
      <c r="D458" s="2" t="s">
        <v>60</v>
      </c>
      <c r="E458" s="2" t="s">
        <v>61</v>
      </c>
      <c r="F458" s="2" t="s">
        <v>26</v>
      </c>
      <c r="G458" s="2" t="s">
        <v>41</v>
      </c>
      <c r="H458" s="2" t="s">
        <v>42</v>
      </c>
      <c r="I458" s="2" t="s">
        <v>31</v>
      </c>
      <c r="J458" s="2">
        <v>10622.0</v>
      </c>
      <c r="K458" s="2">
        <v>6239.0</v>
      </c>
      <c r="L458" s="2">
        <v>4667.0</v>
      </c>
      <c r="M458" s="2">
        <v>4173.0</v>
      </c>
      <c r="N458" s="2">
        <v>2333.0</v>
      </c>
      <c r="O458" s="2">
        <v>2999.0</v>
      </c>
      <c r="P458" s="2">
        <v>2468.0</v>
      </c>
      <c r="Q458" s="2">
        <v>11.0</v>
      </c>
      <c r="R458" s="2">
        <v>19598.0</v>
      </c>
      <c r="S458" s="2">
        <v>372.0</v>
      </c>
      <c r="T458" s="2">
        <v>19226.0</v>
      </c>
      <c r="U458" s="2">
        <v>372.0</v>
      </c>
      <c r="V458" s="2">
        <v>0.0</v>
      </c>
      <c r="W458" s="2">
        <v>19226.0</v>
      </c>
    </row>
    <row r="459" ht="15.0" customHeight="1">
      <c r="A459" s="2">
        <v>2025.0</v>
      </c>
      <c r="B459" s="2" t="s">
        <v>59</v>
      </c>
      <c r="C459" s="2">
        <v>4.0</v>
      </c>
      <c r="D459" s="2" t="s">
        <v>60</v>
      </c>
      <c r="E459" s="2" t="s">
        <v>61</v>
      </c>
      <c r="F459" s="2" t="s">
        <v>26</v>
      </c>
      <c r="G459" s="2" t="s">
        <v>43</v>
      </c>
      <c r="H459" s="2" t="s">
        <v>42</v>
      </c>
      <c r="I459" s="2" t="s">
        <v>29</v>
      </c>
      <c r="J459" s="2">
        <v>3037.0</v>
      </c>
      <c r="K459" s="2">
        <v>1469.0</v>
      </c>
      <c r="L459" s="2">
        <v>812.0</v>
      </c>
      <c r="M459" s="2">
        <v>747.0</v>
      </c>
      <c r="N459" s="2">
        <v>259.0</v>
      </c>
      <c r="O459" s="2">
        <v>537.0</v>
      </c>
      <c r="P459" s="2">
        <v>388.0</v>
      </c>
      <c r="Q459" s="2">
        <v>1.0</v>
      </c>
      <c r="R459" s="2">
        <v>12626.0</v>
      </c>
      <c r="S459" s="2">
        <v>8236.0</v>
      </c>
      <c r="T459" s="2">
        <v>4390.0</v>
      </c>
      <c r="U459" s="2">
        <v>7187.0</v>
      </c>
      <c r="V459" s="2">
        <v>1049.0</v>
      </c>
      <c r="W459" s="2">
        <v>5439.0</v>
      </c>
    </row>
    <row r="460" ht="15.0" customHeight="1">
      <c r="A460" s="2">
        <v>2025.0</v>
      </c>
      <c r="B460" s="2" t="s">
        <v>59</v>
      </c>
      <c r="C460" s="2">
        <v>4.0</v>
      </c>
      <c r="D460" s="2" t="s">
        <v>60</v>
      </c>
      <c r="E460" s="2" t="s">
        <v>61</v>
      </c>
      <c r="F460" s="2" t="s">
        <v>26</v>
      </c>
      <c r="G460" s="2" t="s">
        <v>43</v>
      </c>
      <c r="H460" s="2" t="s">
        <v>42</v>
      </c>
      <c r="I460" s="2" t="s">
        <v>30</v>
      </c>
      <c r="J460" s="2">
        <v>615.0</v>
      </c>
      <c r="K460" s="2">
        <v>236.0</v>
      </c>
      <c r="L460" s="2">
        <v>109.0</v>
      </c>
      <c r="M460" s="2">
        <v>108.0</v>
      </c>
      <c r="N460" s="2">
        <v>45.0</v>
      </c>
      <c r="O460" s="2">
        <v>110.0</v>
      </c>
      <c r="P460" s="2">
        <v>82.0</v>
      </c>
      <c r="Q460" s="2">
        <v>0.0</v>
      </c>
      <c r="R460" s="2">
        <v>2600.0</v>
      </c>
      <c r="S460" s="2">
        <v>1444.0</v>
      </c>
      <c r="T460" s="2">
        <v>1156.0</v>
      </c>
      <c r="U460" s="2">
        <v>1444.0</v>
      </c>
      <c r="V460" s="2">
        <v>0.0</v>
      </c>
      <c r="W460" s="2">
        <v>1156.0</v>
      </c>
    </row>
    <row r="461" ht="15.0" customHeight="1">
      <c r="A461" s="2">
        <v>2025.0</v>
      </c>
      <c r="B461" s="2" t="s">
        <v>59</v>
      </c>
      <c r="C461" s="2">
        <v>4.0</v>
      </c>
      <c r="D461" s="2" t="s">
        <v>60</v>
      </c>
      <c r="E461" s="2" t="s">
        <v>61</v>
      </c>
      <c r="F461" s="2" t="s">
        <v>26</v>
      </c>
      <c r="G461" s="2" t="s">
        <v>43</v>
      </c>
      <c r="H461" s="2" t="s">
        <v>42</v>
      </c>
      <c r="I461" s="2" t="s">
        <v>31</v>
      </c>
      <c r="J461" s="2">
        <v>273.0</v>
      </c>
      <c r="K461" s="2">
        <v>184.0</v>
      </c>
      <c r="L461" s="2">
        <v>107.0</v>
      </c>
      <c r="M461" s="2">
        <v>83.0</v>
      </c>
      <c r="N461" s="2">
        <v>23.0</v>
      </c>
      <c r="O461" s="2">
        <v>49.0</v>
      </c>
      <c r="P461" s="2">
        <v>37.0</v>
      </c>
      <c r="Q461" s="2">
        <v>0.0</v>
      </c>
      <c r="R461" s="2">
        <v>1176.0</v>
      </c>
      <c r="S461" s="2">
        <v>0.0</v>
      </c>
      <c r="T461" s="2">
        <v>1176.0</v>
      </c>
      <c r="U461" s="2">
        <v>0.0</v>
      </c>
      <c r="V461" s="2">
        <v>0.0</v>
      </c>
      <c r="W461" s="2">
        <v>1176.0</v>
      </c>
    </row>
    <row r="462" ht="15.0" customHeight="1">
      <c r="A462" s="2">
        <v>2025.0</v>
      </c>
      <c r="B462" s="2" t="s">
        <v>59</v>
      </c>
      <c r="C462" s="2">
        <v>4.0</v>
      </c>
      <c r="D462" s="2" t="s">
        <v>60</v>
      </c>
      <c r="E462" s="2" t="s">
        <v>61</v>
      </c>
      <c r="F462" s="2" t="s">
        <v>26</v>
      </c>
      <c r="G462" s="2" t="s">
        <v>44</v>
      </c>
      <c r="H462" s="2" t="s">
        <v>45</v>
      </c>
      <c r="I462" s="2" t="s">
        <v>29</v>
      </c>
      <c r="J462" s="2">
        <v>4020.0</v>
      </c>
      <c r="K462" s="2">
        <v>2180.0</v>
      </c>
      <c r="L462" s="2">
        <v>726.0</v>
      </c>
      <c r="M462" s="2">
        <v>686.0</v>
      </c>
      <c r="N462" s="2">
        <v>615.0</v>
      </c>
      <c r="O462" s="2">
        <v>1246.0</v>
      </c>
      <c r="P462" s="2">
        <v>1055.0</v>
      </c>
      <c r="Q462" s="2">
        <v>425.0</v>
      </c>
      <c r="R462" s="2">
        <v>32637.0</v>
      </c>
      <c r="S462" s="2">
        <v>22459.0</v>
      </c>
      <c r="T462" s="2">
        <v>10178.0</v>
      </c>
      <c r="U462" s="2">
        <v>17257.0</v>
      </c>
      <c r="V462" s="2">
        <v>5202.0</v>
      </c>
      <c r="W462" s="2">
        <v>15381.0</v>
      </c>
    </row>
    <row r="463" ht="15.0" customHeight="1">
      <c r="A463" s="2">
        <v>2025.0</v>
      </c>
      <c r="B463" s="2" t="s">
        <v>59</v>
      </c>
      <c r="C463" s="2">
        <v>4.0</v>
      </c>
      <c r="D463" s="2" t="s">
        <v>60</v>
      </c>
      <c r="E463" s="2" t="s">
        <v>61</v>
      </c>
      <c r="F463" s="2" t="s">
        <v>26</v>
      </c>
      <c r="G463" s="2" t="s">
        <v>44</v>
      </c>
      <c r="H463" s="2" t="s">
        <v>45</v>
      </c>
      <c r="I463" s="2" t="s">
        <v>30</v>
      </c>
      <c r="J463" s="2">
        <v>2923.0</v>
      </c>
      <c r="K463" s="2">
        <v>1222.0</v>
      </c>
      <c r="L463" s="2">
        <v>361.0</v>
      </c>
      <c r="M463" s="2">
        <v>345.0</v>
      </c>
      <c r="N463" s="2">
        <v>301.0</v>
      </c>
      <c r="O463" s="2">
        <v>565.0</v>
      </c>
      <c r="P463" s="2">
        <v>468.0</v>
      </c>
      <c r="Q463" s="2">
        <v>158.0</v>
      </c>
      <c r="R463" s="2">
        <v>13190.0</v>
      </c>
      <c r="S463" s="2">
        <v>9595.0</v>
      </c>
      <c r="T463" s="2">
        <v>3595.0</v>
      </c>
      <c r="U463" s="2">
        <v>9589.0</v>
      </c>
      <c r="V463" s="2">
        <v>6.0</v>
      </c>
      <c r="W463" s="2">
        <v>3601.0</v>
      </c>
    </row>
    <row r="464" ht="15.0" customHeight="1">
      <c r="A464" s="2">
        <v>2025.0</v>
      </c>
      <c r="B464" s="2" t="s">
        <v>59</v>
      </c>
      <c r="C464" s="2">
        <v>4.0</v>
      </c>
      <c r="D464" s="2" t="s">
        <v>60</v>
      </c>
      <c r="E464" s="2" t="s">
        <v>61</v>
      </c>
      <c r="F464" s="2" t="s">
        <v>26</v>
      </c>
      <c r="G464" s="2" t="s">
        <v>44</v>
      </c>
      <c r="H464" s="2" t="s">
        <v>45</v>
      </c>
      <c r="I464" s="2" t="s">
        <v>31</v>
      </c>
      <c r="J464" s="2">
        <v>787.0</v>
      </c>
      <c r="K464" s="2">
        <v>430.0</v>
      </c>
      <c r="L464" s="2">
        <v>144.0</v>
      </c>
      <c r="M464" s="2">
        <v>125.0</v>
      </c>
      <c r="N464" s="2">
        <v>120.0</v>
      </c>
      <c r="O464" s="2">
        <v>229.0</v>
      </c>
      <c r="P464" s="2">
        <v>187.0</v>
      </c>
      <c r="Q464" s="2">
        <v>65.0</v>
      </c>
      <c r="R464" s="2">
        <v>5764.0</v>
      </c>
      <c r="S464" s="2">
        <v>120.0</v>
      </c>
      <c r="T464" s="2">
        <v>5644.0</v>
      </c>
      <c r="U464" s="2">
        <v>120.0</v>
      </c>
      <c r="V464" s="2">
        <v>0.0</v>
      </c>
      <c r="W464" s="2">
        <v>5644.0</v>
      </c>
    </row>
    <row r="465" ht="15.0" customHeight="1">
      <c r="A465" s="2">
        <v>2025.0</v>
      </c>
      <c r="B465" s="2" t="s">
        <v>59</v>
      </c>
      <c r="C465" s="2">
        <v>4.0</v>
      </c>
      <c r="D465" s="2" t="s">
        <v>60</v>
      </c>
      <c r="E465" s="2" t="s">
        <v>61</v>
      </c>
      <c r="F465" s="2" t="s">
        <v>26</v>
      </c>
      <c r="G465" s="2" t="s">
        <v>46</v>
      </c>
      <c r="H465" s="2" t="s">
        <v>47</v>
      </c>
      <c r="I465" s="2" t="s">
        <v>29</v>
      </c>
      <c r="J465" s="2">
        <v>4196.0</v>
      </c>
      <c r="K465" s="2">
        <v>2008.0</v>
      </c>
      <c r="L465" s="2">
        <v>817.0</v>
      </c>
      <c r="M465" s="2">
        <v>759.0</v>
      </c>
      <c r="N465" s="2">
        <v>724.0</v>
      </c>
      <c r="O465" s="2">
        <v>1502.0</v>
      </c>
      <c r="P465" s="2">
        <v>984.0</v>
      </c>
      <c r="Q465" s="2">
        <v>128.0</v>
      </c>
      <c r="R465" s="2">
        <v>35428.0</v>
      </c>
      <c r="S465" s="2">
        <v>19789.0</v>
      </c>
      <c r="T465" s="2">
        <v>15639.0</v>
      </c>
      <c r="U465" s="2">
        <v>19433.0</v>
      </c>
      <c r="V465" s="2">
        <v>356.0</v>
      </c>
      <c r="W465" s="2">
        <v>15995.0</v>
      </c>
    </row>
    <row r="466" ht="15.0" customHeight="1">
      <c r="A466" s="2">
        <v>2025.0</v>
      </c>
      <c r="B466" s="2" t="s">
        <v>59</v>
      </c>
      <c r="C466" s="2">
        <v>4.0</v>
      </c>
      <c r="D466" s="2" t="s">
        <v>60</v>
      </c>
      <c r="E466" s="2" t="s">
        <v>61</v>
      </c>
      <c r="F466" s="2" t="s">
        <v>26</v>
      </c>
      <c r="G466" s="2" t="s">
        <v>46</v>
      </c>
      <c r="H466" s="2" t="s">
        <v>47</v>
      </c>
      <c r="I466" s="2" t="s">
        <v>30</v>
      </c>
      <c r="J466" s="2">
        <v>1256.0</v>
      </c>
      <c r="K466" s="2">
        <v>440.0</v>
      </c>
      <c r="L466" s="2">
        <v>175.0</v>
      </c>
      <c r="M466" s="2">
        <v>170.0</v>
      </c>
      <c r="N466" s="2">
        <v>162.0</v>
      </c>
      <c r="O466" s="2">
        <v>343.0</v>
      </c>
      <c r="P466" s="2">
        <v>231.0</v>
      </c>
      <c r="Q466" s="2">
        <v>25.0</v>
      </c>
      <c r="R466" s="2">
        <v>8013.0</v>
      </c>
      <c r="S466" s="2">
        <v>4397.0</v>
      </c>
      <c r="T466" s="2">
        <v>3617.0</v>
      </c>
      <c r="U466" s="2">
        <v>4397.0</v>
      </c>
      <c r="V466" s="2">
        <v>0.0</v>
      </c>
      <c r="W466" s="2">
        <v>3617.0</v>
      </c>
    </row>
    <row r="467" ht="15.0" customHeight="1">
      <c r="A467" s="2">
        <v>2025.0</v>
      </c>
      <c r="B467" s="2" t="s">
        <v>59</v>
      </c>
      <c r="C467" s="2">
        <v>4.0</v>
      </c>
      <c r="D467" s="2" t="s">
        <v>60</v>
      </c>
      <c r="E467" s="2" t="s">
        <v>61</v>
      </c>
      <c r="F467" s="2" t="s">
        <v>26</v>
      </c>
      <c r="G467" s="2" t="s">
        <v>46</v>
      </c>
      <c r="H467" s="2" t="s">
        <v>47</v>
      </c>
      <c r="I467" s="2" t="s">
        <v>31</v>
      </c>
      <c r="J467" s="2">
        <v>1396.0</v>
      </c>
      <c r="K467" s="2">
        <v>719.0</v>
      </c>
      <c r="L467" s="2">
        <v>164.0</v>
      </c>
      <c r="M467" s="2">
        <v>105.0</v>
      </c>
      <c r="N467" s="2">
        <v>99.0</v>
      </c>
      <c r="O467" s="2">
        <v>212.0</v>
      </c>
      <c r="P467" s="2">
        <v>144.0</v>
      </c>
      <c r="Q467" s="2">
        <v>16.0</v>
      </c>
      <c r="R467" s="2">
        <v>5429.0</v>
      </c>
      <c r="S467" s="2">
        <v>420.0</v>
      </c>
      <c r="T467" s="2">
        <v>5009.0</v>
      </c>
      <c r="U467" s="2">
        <v>420.0</v>
      </c>
      <c r="V467" s="2">
        <v>0.0</v>
      </c>
      <c r="W467" s="2">
        <v>5009.0</v>
      </c>
    </row>
    <row r="468" ht="15.0" customHeight="1">
      <c r="A468" s="2">
        <v>2025.0</v>
      </c>
      <c r="B468" s="2" t="s">
        <v>59</v>
      </c>
      <c r="C468" s="2">
        <v>4.0</v>
      </c>
      <c r="D468" s="2" t="s">
        <v>60</v>
      </c>
      <c r="E468" s="2" t="s">
        <v>61</v>
      </c>
      <c r="F468" s="2" t="s">
        <v>48</v>
      </c>
      <c r="G468" s="2" t="s">
        <v>27</v>
      </c>
      <c r="H468" s="2" t="s">
        <v>28</v>
      </c>
      <c r="I468" s="2" t="s">
        <v>29</v>
      </c>
      <c r="J468" s="2">
        <v>5081.0</v>
      </c>
      <c r="K468" s="2">
        <v>2620.0</v>
      </c>
      <c r="L468" s="2">
        <v>1036.0</v>
      </c>
      <c r="M468" s="2">
        <v>992.0</v>
      </c>
      <c r="N468" s="2">
        <v>638.0</v>
      </c>
      <c r="O468" s="2">
        <v>1043.0</v>
      </c>
      <c r="P468" s="2">
        <v>793.0</v>
      </c>
      <c r="Q468" s="2">
        <v>0.0</v>
      </c>
      <c r="R468" s="2">
        <v>22593.0</v>
      </c>
      <c r="S468" s="2">
        <v>17168.0</v>
      </c>
      <c r="T468" s="2">
        <v>5425.0</v>
      </c>
      <c r="U468" s="2">
        <v>16044.0</v>
      </c>
      <c r="V468" s="2">
        <v>1124.0</v>
      </c>
      <c r="W468" s="2">
        <v>6549.0</v>
      </c>
    </row>
    <row r="469" ht="15.0" customHeight="1">
      <c r="A469" s="2">
        <v>2025.0</v>
      </c>
      <c r="B469" s="2" t="s">
        <v>59</v>
      </c>
      <c r="C469" s="2">
        <v>4.0</v>
      </c>
      <c r="D469" s="2" t="s">
        <v>60</v>
      </c>
      <c r="E469" s="2" t="s">
        <v>61</v>
      </c>
      <c r="F469" s="2" t="s">
        <v>48</v>
      </c>
      <c r="G469" s="2" t="s">
        <v>27</v>
      </c>
      <c r="H469" s="2" t="s">
        <v>28</v>
      </c>
      <c r="I469" s="2" t="s">
        <v>30</v>
      </c>
      <c r="J469" s="2">
        <v>2301.0</v>
      </c>
      <c r="K469" s="2">
        <v>769.0</v>
      </c>
      <c r="L469" s="2">
        <v>261.0</v>
      </c>
      <c r="M469" s="2">
        <v>240.0</v>
      </c>
      <c r="N469" s="2">
        <v>145.0</v>
      </c>
      <c r="O469" s="2">
        <v>270.0</v>
      </c>
      <c r="P469" s="2">
        <v>224.0</v>
      </c>
      <c r="Q469" s="2">
        <v>0.0</v>
      </c>
      <c r="R469" s="2">
        <v>6438.0</v>
      </c>
      <c r="S469" s="2">
        <v>3867.0</v>
      </c>
      <c r="T469" s="2">
        <v>2571.0</v>
      </c>
      <c r="U469" s="2">
        <v>3867.0</v>
      </c>
      <c r="V469" s="2">
        <v>0.0</v>
      </c>
      <c r="W469" s="2">
        <v>2571.0</v>
      </c>
    </row>
    <row r="470" ht="15.0" customHeight="1">
      <c r="A470" s="2">
        <v>2025.0</v>
      </c>
      <c r="B470" s="2" t="s">
        <v>59</v>
      </c>
      <c r="C470" s="2">
        <v>4.0</v>
      </c>
      <c r="D470" s="2" t="s">
        <v>60</v>
      </c>
      <c r="E470" s="2" t="s">
        <v>61</v>
      </c>
      <c r="F470" s="2" t="s">
        <v>48</v>
      </c>
      <c r="G470" s="2" t="s">
        <v>27</v>
      </c>
      <c r="H470" s="2" t="s">
        <v>28</v>
      </c>
      <c r="I470" s="2" t="s">
        <v>31</v>
      </c>
      <c r="J470" s="2">
        <v>100.0</v>
      </c>
      <c r="K470" s="2">
        <v>68.0</v>
      </c>
      <c r="L470" s="2">
        <v>146.0</v>
      </c>
      <c r="M470" s="2">
        <v>134.0</v>
      </c>
      <c r="N470" s="2">
        <v>59.0</v>
      </c>
      <c r="O470" s="2">
        <v>90.0</v>
      </c>
      <c r="P470" s="2">
        <v>68.0</v>
      </c>
      <c r="Q470" s="2">
        <v>0.0</v>
      </c>
      <c r="R470" s="2">
        <v>1942.0</v>
      </c>
      <c r="S470" s="2">
        <v>647.0</v>
      </c>
      <c r="T470" s="2">
        <v>1295.0</v>
      </c>
      <c r="U470" s="2">
        <v>647.0</v>
      </c>
      <c r="V470" s="2">
        <v>0.0</v>
      </c>
      <c r="W470" s="2">
        <v>1295.0</v>
      </c>
    </row>
    <row r="471" ht="15.0" customHeight="1">
      <c r="A471" s="2">
        <v>2025.0</v>
      </c>
      <c r="B471" s="2" t="s">
        <v>59</v>
      </c>
      <c r="C471" s="2">
        <v>4.0</v>
      </c>
      <c r="D471" s="2" t="s">
        <v>60</v>
      </c>
      <c r="E471" s="2" t="s">
        <v>61</v>
      </c>
      <c r="F471" s="2" t="s">
        <v>48</v>
      </c>
      <c r="G471" s="2" t="s">
        <v>32</v>
      </c>
      <c r="H471" s="2" t="s">
        <v>28</v>
      </c>
      <c r="I471" s="2" t="s">
        <v>29</v>
      </c>
      <c r="J471" s="2">
        <v>970.0</v>
      </c>
      <c r="K471" s="2">
        <v>515.0</v>
      </c>
      <c r="L471" s="2">
        <v>273.0</v>
      </c>
      <c r="M471" s="2">
        <v>260.0</v>
      </c>
      <c r="N471" s="2">
        <v>102.0</v>
      </c>
      <c r="O471" s="2">
        <v>134.0</v>
      </c>
      <c r="P471" s="2">
        <v>112.0</v>
      </c>
      <c r="Q471" s="2">
        <v>0.0</v>
      </c>
      <c r="R471" s="2">
        <v>1707.0</v>
      </c>
      <c r="S471" s="2">
        <v>1436.0</v>
      </c>
      <c r="T471" s="2">
        <v>271.0</v>
      </c>
      <c r="U471" s="2">
        <v>1436.0</v>
      </c>
      <c r="V471" s="2">
        <v>0.0</v>
      </c>
      <c r="W471" s="2">
        <v>271.0</v>
      </c>
    </row>
    <row r="472" ht="15.0" customHeight="1">
      <c r="A472" s="2">
        <v>2025.0</v>
      </c>
      <c r="B472" s="2" t="s">
        <v>59</v>
      </c>
      <c r="C472" s="2">
        <v>4.0</v>
      </c>
      <c r="D472" s="2" t="s">
        <v>60</v>
      </c>
      <c r="E472" s="2" t="s">
        <v>61</v>
      </c>
      <c r="F472" s="2" t="s">
        <v>48</v>
      </c>
      <c r="G472" s="2" t="s">
        <v>32</v>
      </c>
      <c r="H472" s="2" t="s">
        <v>28</v>
      </c>
      <c r="I472" s="2" t="s">
        <v>30</v>
      </c>
      <c r="J472" s="2">
        <v>347.0</v>
      </c>
      <c r="K472" s="2">
        <v>161.0</v>
      </c>
      <c r="L472" s="2">
        <v>94.0</v>
      </c>
      <c r="M472" s="2">
        <v>86.0</v>
      </c>
      <c r="N472" s="2">
        <v>18.0</v>
      </c>
      <c r="O472" s="2">
        <v>21.0</v>
      </c>
      <c r="P472" s="2">
        <v>14.0</v>
      </c>
      <c r="Q472" s="2">
        <v>0.0</v>
      </c>
      <c r="R472" s="2">
        <v>206.0</v>
      </c>
      <c r="S472" s="2">
        <v>169.0</v>
      </c>
      <c r="T472" s="2">
        <v>37.0</v>
      </c>
      <c r="U472" s="2">
        <v>169.0</v>
      </c>
      <c r="V472" s="2">
        <v>0.0</v>
      </c>
      <c r="W472" s="2">
        <v>37.0</v>
      </c>
    </row>
    <row r="473" ht="15.0" customHeight="1">
      <c r="A473" s="2">
        <v>2025.0</v>
      </c>
      <c r="B473" s="2" t="s">
        <v>59</v>
      </c>
      <c r="C473" s="2">
        <v>4.0</v>
      </c>
      <c r="D473" s="2" t="s">
        <v>60</v>
      </c>
      <c r="E473" s="2" t="s">
        <v>61</v>
      </c>
      <c r="F473" s="2" t="s">
        <v>48</v>
      </c>
      <c r="G473" s="2" t="s">
        <v>32</v>
      </c>
      <c r="H473" s="2" t="s">
        <v>28</v>
      </c>
      <c r="I473" s="2" t="s">
        <v>31</v>
      </c>
      <c r="J473" s="2">
        <v>1930.0</v>
      </c>
      <c r="K473" s="2">
        <v>837.0</v>
      </c>
      <c r="L473" s="2">
        <v>508.0</v>
      </c>
      <c r="M473" s="2">
        <v>455.0</v>
      </c>
      <c r="N473" s="2">
        <v>120.0</v>
      </c>
      <c r="O473" s="2">
        <v>174.0</v>
      </c>
      <c r="P473" s="2">
        <v>147.0</v>
      </c>
      <c r="Q473" s="2">
        <v>0.0</v>
      </c>
      <c r="R473" s="2">
        <v>2211.0</v>
      </c>
      <c r="S473" s="2">
        <v>0.0</v>
      </c>
      <c r="T473" s="2">
        <v>2211.0</v>
      </c>
      <c r="U473" s="2">
        <v>0.0</v>
      </c>
      <c r="V473" s="2">
        <v>0.0</v>
      </c>
      <c r="W473" s="2">
        <v>2211.0</v>
      </c>
    </row>
    <row r="474" ht="15.0" customHeight="1">
      <c r="A474" s="2">
        <v>2025.0</v>
      </c>
      <c r="B474" s="2" t="s">
        <v>59</v>
      </c>
      <c r="C474" s="2">
        <v>4.0</v>
      </c>
      <c r="D474" s="2" t="s">
        <v>60</v>
      </c>
      <c r="E474" s="2" t="s">
        <v>61</v>
      </c>
      <c r="F474" s="2" t="s">
        <v>48</v>
      </c>
      <c r="G474" s="2" t="s">
        <v>33</v>
      </c>
      <c r="H474" s="2" t="s">
        <v>28</v>
      </c>
      <c r="I474" s="2" t="s">
        <v>29</v>
      </c>
      <c r="J474" s="2">
        <v>925.0</v>
      </c>
      <c r="K474" s="2">
        <v>480.0</v>
      </c>
      <c r="L474" s="2">
        <v>185.0</v>
      </c>
      <c r="M474" s="2">
        <v>177.0</v>
      </c>
      <c r="N474" s="2">
        <v>101.0</v>
      </c>
      <c r="O474" s="2">
        <v>143.0</v>
      </c>
      <c r="P474" s="2">
        <v>137.0</v>
      </c>
      <c r="Q474" s="2">
        <v>61.0</v>
      </c>
      <c r="R474" s="2">
        <v>5237.0</v>
      </c>
      <c r="S474" s="2">
        <v>3482.0</v>
      </c>
      <c r="T474" s="2">
        <v>1756.0</v>
      </c>
      <c r="U474" s="2">
        <v>3372.0</v>
      </c>
      <c r="V474" s="2">
        <v>110.0</v>
      </c>
      <c r="W474" s="2">
        <v>1866.0</v>
      </c>
    </row>
    <row r="475" ht="15.0" customHeight="1">
      <c r="A475" s="2">
        <v>2025.0</v>
      </c>
      <c r="B475" s="2" t="s">
        <v>59</v>
      </c>
      <c r="C475" s="2">
        <v>4.0</v>
      </c>
      <c r="D475" s="2" t="s">
        <v>60</v>
      </c>
      <c r="E475" s="2" t="s">
        <v>61</v>
      </c>
      <c r="F475" s="2" t="s">
        <v>48</v>
      </c>
      <c r="G475" s="2" t="s">
        <v>33</v>
      </c>
      <c r="H475" s="2" t="s">
        <v>28</v>
      </c>
      <c r="I475" s="2" t="s">
        <v>30</v>
      </c>
      <c r="J475" s="2">
        <v>1045.0</v>
      </c>
      <c r="K475" s="2">
        <v>380.0</v>
      </c>
      <c r="L475" s="2">
        <v>105.0</v>
      </c>
      <c r="M475" s="2">
        <v>101.0</v>
      </c>
      <c r="N475" s="2">
        <v>40.0</v>
      </c>
      <c r="O475" s="2">
        <v>50.0</v>
      </c>
      <c r="P475" s="2">
        <v>47.0</v>
      </c>
      <c r="Q475" s="2">
        <v>30.0</v>
      </c>
      <c r="R475" s="2">
        <v>1986.0</v>
      </c>
      <c r="S475" s="2">
        <v>1781.0</v>
      </c>
      <c r="T475" s="2">
        <v>205.0</v>
      </c>
      <c r="U475" s="2">
        <v>1781.0</v>
      </c>
      <c r="V475" s="2">
        <v>0.0</v>
      </c>
      <c r="W475" s="2">
        <v>205.0</v>
      </c>
    </row>
    <row r="476" ht="15.0" customHeight="1">
      <c r="A476" s="2">
        <v>2025.0</v>
      </c>
      <c r="B476" s="2" t="s">
        <v>59</v>
      </c>
      <c r="C476" s="2">
        <v>4.0</v>
      </c>
      <c r="D476" s="2" t="s">
        <v>60</v>
      </c>
      <c r="E476" s="2" t="s">
        <v>61</v>
      </c>
      <c r="F476" s="2" t="s">
        <v>48</v>
      </c>
      <c r="G476" s="2" t="s">
        <v>33</v>
      </c>
      <c r="H476" s="2" t="s">
        <v>28</v>
      </c>
      <c r="I476" s="2" t="s">
        <v>31</v>
      </c>
      <c r="J476" s="2">
        <v>80.0</v>
      </c>
      <c r="K476" s="2">
        <v>31.0</v>
      </c>
      <c r="L476" s="2">
        <v>14.0</v>
      </c>
      <c r="M476" s="2">
        <v>7.0</v>
      </c>
      <c r="N476" s="2">
        <v>3.0</v>
      </c>
      <c r="O476" s="2">
        <v>3.0</v>
      </c>
      <c r="P476" s="2">
        <v>3.0</v>
      </c>
      <c r="Q476" s="2">
        <v>2.0</v>
      </c>
      <c r="R476" s="2">
        <v>122.0</v>
      </c>
      <c r="S476" s="2">
        <v>0.0</v>
      </c>
      <c r="T476" s="2">
        <v>122.0</v>
      </c>
      <c r="U476" s="2">
        <v>0.0</v>
      </c>
      <c r="V476" s="2">
        <v>0.0</v>
      </c>
      <c r="W476" s="2">
        <v>122.0</v>
      </c>
    </row>
    <row r="477" ht="15.0" customHeight="1">
      <c r="A477" s="2">
        <v>2025.0</v>
      </c>
      <c r="B477" s="2" t="s">
        <v>59</v>
      </c>
      <c r="C477" s="2">
        <v>4.0</v>
      </c>
      <c r="D477" s="2" t="s">
        <v>60</v>
      </c>
      <c r="E477" s="2" t="s">
        <v>61</v>
      </c>
      <c r="F477" s="2" t="s">
        <v>48</v>
      </c>
      <c r="G477" s="2" t="s">
        <v>34</v>
      </c>
      <c r="H477" s="2" t="s">
        <v>35</v>
      </c>
      <c r="I477" s="2" t="s">
        <v>29</v>
      </c>
      <c r="J477" s="2">
        <v>35018.0</v>
      </c>
      <c r="K477" s="2">
        <v>22441.0</v>
      </c>
      <c r="L477" s="2">
        <v>10262.0</v>
      </c>
      <c r="M477" s="2">
        <v>9792.0</v>
      </c>
      <c r="N477" s="2">
        <v>4029.0</v>
      </c>
      <c r="O477" s="2">
        <v>5303.0</v>
      </c>
      <c r="P477" s="2">
        <v>4232.0</v>
      </c>
      <c r="Q477" s="2">
        <v>0.0</v>
      </c>
      <c r="R477" s="2">
        <v>58221.0</v>
      </c>
      <c r="S477" s="2">
        <v>41808.0</v>
      </c>
      <c r="T477" s="2">
        <v>16413.0</v>
      </c>
      <c r="U477" s="2">
        <v>39724.0</v>
      </c>
      <c r="V477" s="2">
        <v>2084.0</v>
      </c>
      <c r="W477" s="2">
        <v>18497.0</v>
      </c>
    </row>
    <row r="478" ht="15.0" customHeight="1">
      <c r="A478" s="2">
        <v>2025.0</v>
      </c>
      <c r="B478" s="2" t="s">
        <v>59</v>
      </c>
      <c r="C478" s="2">
        <v>4.0</v>
      </c>
      <c r="D478" s="2" t="s">
        <v>60</v>
      </c>
      <c r="E478" s="2" t="s">
        <v>61</v>
      </c>
      <c r="F478" s="2" t="s">
        <v>48</v>
      </c>
      <c r="G478" s="2" t="s">
        <v>34</v>
      </c>
      <c r="H478" s="2" t="s">
        <v>35</v>
      </c>
      <c r="I478" s="2" t="s">
        <v>30</v>
      </c>
      <c r="J478" s="2">
        <v>19349.0</v>
      </c>
      <c r="K478" s="2">
        <v>10550.0</v>
      </c>
      <c r="L478" s="2">
        <v>4032.0</v>
      </c>
      <c r="M478" s="2">
        <v>3795.0</v>
      </c>
      <c r="N478" s="2">
        <v>1388.0</v>
      </c>
      <c r="O478" s="2">
        <v>1801.0</v>
      </c>
      <c r="P478" s="2">
        <v>1420.0</v>
      </c>
      <c r="Q478" s="2">
        <v>0.0</v>
      </c>
      <c r="R478" s="2">
        <v>20895.0</v>
      </c>
      <c r="S478" s="2">
        <v>14016.0</v>
      </c>
      <c r="T478" s="2">
        <v>6879.0</v>
      </c>
      <c r="U478" s="2">
        <v>14016.0</v>
      </c>
      <c r="V478" s="2">
        <v>0.0</v>
      </c>
      <c r="W478" s="2">
        <v>6879.0</v>
      </c>
    </row>
    <row r="479" ht="15.0" customHeight="1">
      <c r="A479" s="2">
        <v>2025.0</v>
      </c>
      <c r="B479" s="2" t="s">
        <v>59</v>
      </c>
      <c r="C479" s="2">
        <v>4.0</v>
      </c>
      <c r="D479" s="2" t="s">
        <v>60</v>
      </c>
      <c r="E479" s="2" t="s">
        <v>61</v>
      </c>
      <c r="F479" s="2" t="s">
        <v>48</v>
      </c>
      <c r="G479" s="2" t="s">
        <v>34</v>
      </c>
      <c r="H479" s="2" t="s">
        <v>35</v>
      </c>
      <c r="I479" s="2" t="s">
        <v>31</v>
      </c>
      <c r="J479" s="2">
        <v>1025.0</v>
      </c>
      <c r="K479" s="2">
        <v>586.0</v>
      </c>
      <c r="L479" s="2">
        <v>425.0</v>
      </c>
      <c r="M479" s="2">
        <v>346.0</v>
      </c>
      <c r="N479" s="2">
        <v>142.0</v>
      </c>
      <c r="O479" s="2">
        <v>201.0</v>
      </c>
      <c r="P479" s="2">
        <v>156.0</v>
      </c>
      <c r="Q479" s="2">
        <v>0.0</v>
      </c>
      <c r="R479" s="2">
        <v>2377.0</v>
      </c>
      <c r="S479" s="2">
        <v>0.0</v>
      </c>
      <c r="T479" s="2">
        <v>2377.0</v>
      </c>
      <c r="U479" s="2">
        <v>0.0</v>
      </c>
      <c r="V479" s="2">
        <v>0.0</v>
      </c>
      <c r="W479" s="2">
        <v>2377.0</v>
      </c>
    </row>
    <row r="480" ht="15.0" customHeight="1">
      <c r="A480" s="2">
        <v>2025.0</v>
      </c>
      <c r="B480" s="2" t="s">
        <v>59</v>
      </c>
      <c r="C480" s="2">
        <v>4.0</v>
      </c>
      <c r="D480" s="2" t="s">
        <v>60</v>
      </c>
      <c r="E480" s="2" t="s">
        <v>61</v>
      </c>
      <c r="F480" s="2" t="s">
        <v>48</v>
      </c>
      <c r="G480" s="2" t="s">
        <v>36</v>
      </c>
      <c r="H480" s="2" t="s">
        <v>35</v>
      </c>
      <c r="I480" s="2" t="s">
        <v>29</v>
      </c>
      <c r="J480" s="2">
        <v>13785.0</v>
      </c>
      <c r="K480" s="2">
        <v>8144.0</v>
      </c>
      <c r="L480" s="2">
        <v>4056.0</v>
      </c>
      <c r="M480" s="2">
        <v>3885.0</v>
      </c>
      <c r="N480" s="2">
        <v>2912.0</v>
      </c>
      <c r="O480" s="2">
        <v>5274.0</v>
      </c>
      <c r="P480" s="2">
        <v>4587.0</v>
      </c>
      <c r="Q480" s="2">
        <v>0.0</v>
      </c>
      <c r="R480" s="2">
        <v>55495.0</v>
      </c>
      <c r="S480" s="2">
        <v>32893.0</v>
      </c>
      <c r="T480" s="2">
        <v>22602.0</v>
      </c>
      <c r="U480" s="2">
        <v>31651.0</v>
      </c>
      <c r="V480" s="2">
        <v>1242.0</v>
      </c>
      <c r="W480" s="2">
        <v>23844.0</v>
      </c>
    </row>
    <row r="481" ht="15.0" customHeight="1">
      <c r="A481" s="2">
        <v>2025.0</v>
      </c>
      <c r="B481" s="2" t="s">
        <v>59</v>
      </c>
      <c r="C481" s="2">
        <v>4.0</v>
      </c>
      <c r="D481" s="2" t="s">
        <v>60</v>
      </c>
      <c r="E481" s="2" t="s">
        <v>61</v>
      </c>
      <c r="F481" s="2" t="s">
        <v>48</v>
      </c>
      <c r="G481" s="2" t="s">
        <v>36</v>
      </c>
      <c r="H481" s="2" t="s">
        <v>35</v>
      </c>
      <c r="I481" s="2" t="s">
        <v>30</v>
      </c>
      <c r="J481" s="2">
        <v>3254.0</v>
      </c>
      <c r="K481" s="2">
        <v>1442.0</v>
      </c>
      <c r="L481" s="2">
        <v>719.0</v>
      </c>
      <c r="M481" s="2">
        <v>673.0</v>
      </c>
      <c r="N481" s="2">
        <v>493.0</v>
      </c>
      <c r="O481" s="2">
        <v>873.0</v>
      </c>
      <c r="P481" s="2">
        <v>755.0</v>
      </c>
      <c r="Q481" s="2">
        <v>0.0</v>
      </c>
      <c r="R481" s="2">
        <v>9055.0</v>
      </c>
      <c r="S481" s="2">
        <v>6684.0</v>
      </c>
      <c r="T481" s="2">
        <v>2370.0</v>
      </c>
      <c r="U481" s="2">
        <v>6684.0</v>
      </c>
      <c r="V481" s="2">
        <v>0.0</v>
      </c>
      <c r="W481" s="2">
        <v>2370.0</v>
      </c>
    </row>
    <row r="482" ht="15.0" customHeight="1">
      <c r="A482" s="2">
        <v>2025.0</v>
      </c>
      <c r="B482" s="2" t="s">
        <v>59</v>
      </c>
      <c r="C482" s="2">
        <v>4.0</v>
      </c>
      <c r="D482" s="2" t="s">
        <v>60</v>
      </c>
      <c r="E482" s="2" t="s">
        <v>61</v>
      </c>
      <c r="F482" s="2" t="s">
        <v>48</v>
      </c>
      <c r="G482" s="2" t="s">
        <v>36</v>
      </c>
      <c r="H482" s="2" t="s">
        <v>35</v>
      </c>
      <c r="I482" s="2" t="s">
        <v>31</v>
      </c>
      <c r="J482" s="2">
        <v>988.0</v>
      </c>
      <c r="K482" s="2">
        <v>637.0</v>
      </c>
      <c r="L482" s="2">
        <v>438.0</v>
      </c>
      <c r="M482" s="2">
        <v>385.0</v>
      </c>
      <c r="N482" s="2">
        <v>286.0</v>
      </c>
      <c r="O482" s="2">
        <v>544.0</v>
      </c>
      <c r="P482" s="2">
        <v>476.0</v>
      </c>
      <c r="Q482" s="2">
        <v>0.0</v>
      </c>
      <c r="R482" s="2">
        <v>5894.0</v>
      </c>
      <c r="S482" s="2">
        <v>0.0</v>
      </c>
      <c r="T482" s="2">
        <v>5894.0</v>
      </c>
      <c r="U482" s="2">
        <v>0.0</v>
      </c>
      <c r="V482" s="2">
        <v>0.0</v>
      </c>
      <c r="W482" s="2">
        <v>5894.0</v>
      </c>
    </row>
    <row r="483" ht="15.0" customHeight="1">
      <c r="A483" s="2">
        <v>2025.0</v>
      </c>
      <c r="B483" s="2" t="s">
        <v>59</v>
      </c>
      <c r="C483" s="2">
        <v>4.0</v>
      </c>
      <c r="D483" s="2" t="s">
        <v>60</v>
      </c>
      <c r="E483" s="2" t="s">
        <v>61</v>
      </c>
      <c r="F483" s="2" t="s">
        <v>48</v>
      </c>
      <c r="G483" s="2" t="s">
        <v>37</v>
      </c>
      <c r="H483" s="2" t="s">
        <v>35</v>
      </c>
      <c r="I483" s="2" t="s">
        <v>29</v>
      </c>
      <c r="J483" s="2">
        <v>4045.0</v>
      </c>
      <c r="K483" s="2">
        <v>2061.0</v>
      </c>
      <c r="L483" s="2">
        <v>809.0</v>
      </c>
      <c r="M483" s="2">
        <v>758.0</v>
      </c>
      <c r="N483" s="2">
        <v>622.0</v>
      </c>
      <c r="O483" s="2">
        <v>1672.0</v>
      </c>
      <c r="P483" s="2">
        <v>1358.0</v>
      </c>
      <c r="Q483" s="2">
        <v>107.0</v>
      </c>
      <c r="R483" s="2">
        <v>33458.0</v>
      </c>
      <c r="S483" s="2">
        <v>16178.0</v>
      </c>
      <c r="T483" s="2">
        <v>17280.0</v>
      </c>
      <c r="U483" s="2">
        <v>16178.0</v>
      </c>
      <c r="V483" s="2">
        <v>0.0</v>
      </c>
      <c r="W483" s="2">
        <v>17280.0</v>
      </c>
    </row>
    <row r="484" ht="15.0" customHeight="1">
      <c r="A484" s="2">
        <v>2025.0</v>
      </c>
      <c r="B484" s="2" t="s">
        <v>59</v>
      </c>
      <c r="C484" s="2">
        <v>4.0</v>
      </c>
      <c r="D484" s="2" t="s">
        <v>60</v>
      </c>
      <c r="E484" s="2" t="s">
        <v>61</v>
      </c>
      <c r="F484" s="2" t="s">
        <v>48</v>
      </c>
      <c r="G484" s="2" t="s">
        <v>37</v>
      </c>
      <c r="H484" s="2" t="s">
        <v>35</v>
      </c>
      <c r="I484" s="2" t="s">
        <v>30</v>
      </c>
      <c r="J484" s="2">
        <v>3009.0</v>
      </c>
      <c r="K484" s="2">
        <v>959.0</v>
      </c>
      <c r="L484" s="2">
        <v>277.0</v>
      </c>
      <c r="M484" s="2">
        <v>256.0</v>
      </c>
      <c r="N484" s="2">
        <v>209.0</v>
      </c>
      <c r="O484" s="2">
        <v>555.0</v>
      </c>
      <c r="P484" s="2">
        <v>457.0</v>
      </c>
      <c r="Q484" s="2">
        <v>36.0</v>
      </c>
      <c r="R484" s="2">
        <v>11149.0</v>
      </c>
      <c r="S484" s="2">
        <v>8095.0</v>
      </c>
      <c r="T484" s="2">
        <v>3054.0</v>
      </c>
      <c r="U484" s="2">
        <v>8095.0</v>
      </c>
      <c r="V484" s="2">
        <v>0.0</v>
      </c>
      <c r="W484" s="2">
        <v>3054.0</v>
      </c>
    </row>
    <row r="485" ht="15.0" customHeight="1">
      <c r="A485" s="2">
        <v>2025.0</v>
      </c>
      <c r="B485" s="2" t="s">
        <v>59</v>
      </c>
      <c r="C485" s="2">
        <v>4.0</v>
      </c>
      <c r="D485" s="2" t="s">
        <v>60</v>
      </c>
      <c r="E485" s="2" t="s">
        <v>61</v>
      </c>
      <c r="F485" s="2" t="s">
        <v>48</v>
      </c>
      <c r="G485" s="2" t="s">
        <v>37</v>
      </c>
      <c r="H485" s="2" t="s">
        <v>35</v>
      </c>
      <c r="I485" s="2" t="s">
        <v>31</v>
      </c>
      <c r="J485" s="2">
        <v>92.0</v>
      </c>
      <c r="K485" s="2">
        <v>76.0</v>
      </c>
      <c r="L485" s="2">
        <v>41.0</v>
      </c>
      <c r="M485" s="2">
        <v>33.0</v>
      </c>
      <c r="N485" s="2">
        <v>22.0</v>
      </c>
      <c r="O485" s="2">
        <v>54.0</v>
      </c>
      <c r="P485" s="2">
        <v>40.0</v>
      </c>
      <c r="Q485" s="2">
        <v>6.0</v>
      </c>
      <c r="R485" s="2">
        <v>959.0</v>
      </c>
      <c r="S485" s="2">
        <v>0.0</v>
      </c>
      <c r="T485" s="2">
        <v>959.0</v>
      </c>
      <c r="U485" s="2">
        <v>0.0</v>
      </c>
      <c r="V485" s="2">
        <v>0.0</v>
      </c>
      <c r="W485" s="2">
        <v>959.0</v>
      </c>
    </row>
    <row r="486" ht="15.0" customHeight="1">
      <c r="A486" s="2">
        <v>2025.0</v>
      </c>
      <c r="B486" s="2" t="s">
        <v>59</v>
      </c>
      <c r="C486" s="2">
        <v>4.0</v>
      </c>
      <c r="D486" s="2" t="s">
        <v>60</v>
      </c>
      <c r="E486" s="2" t="s">
        <v>61</v>
      </c>
      <c r="F486" s="2" t="s">
        <v>48</v>
      </c>
      <c r="G486" s="2" t="s">
        <v>38</v>
      </c>
      <c r="H486" s="2" t="s">
        <v>35</v>
      </c>
      <c r="I486" s="2" t="s">
        <v>29</v>
      </c>
      <c r="J486" s="2">
        <v>3010.0</v>
      </c>
      <c r="K486" s="2">
        <v>1687.0</v>
      </c>
      <c r="L486" s="2">
        <v>870.0</v>
      </c>
      <c r="M486" s="2">
        <v>828.0</v>
      </c>
      <c r="N486" s="2">
        <v>424.0</v>
      </c>
      <c r="O486" s="2">
        <v>611.0</v>
      </c>
      <c r="P486" s="2">
        <v>479.0</v>
      </c>
      <c r="Q486" s="2">
        <v>143.0</v>
      </c>
      <c r="R486" s="2">
        <v>8824.0</v>
      </c>
      <c r="S486" s="2">
        <v>5259.0</v>
      </c>
      <c r="T486" s="2">
        <v>3565.0</v>
      </c>
      <c r="U486" s="2">
        <v>5084.0</v>
      </c>
      <c r="V486" s="2">
        <v>175.0</v>
      </c>
      <c r="W486" s="2">
        <v>3740.0</v>
      </c>
    </row>
    <row r="487" ht="15.0" customHeight="1">
      <c r="A487" s="2">
        <v>2025.0</v>
      </c>
      <c r="B487" s="2" t="s">
        <v>59</v>
      </c>
      <c r="C487" s="2">
        <v>4.0</v>
      </c>
      <c r="D487" s="2" t="s">
        <v>60</v>
      </c>
      <c r="E487" s="2" t="s">
        <v>61</v>
      </c>
      <c r="F487" s="2" t="s">
        <v>48</v>
      </c>
      <c r="G487" s="2" t="s">
        <v>38</v>
      </c>
      <c r="H487" s="2" t="s">
        <v>35</v>
      </c>
      <c r="I487" s="2" t="s">
        <v>30</v>
      </c>
      <c r="J487" s="2">
        <v>7912.0</v>
      </c>
      <c r="K487" s="2">
        <v>3108.0</v>
      </c>
      <c r="L487" s="2">
        <v>2224.0</v>
      </c>
      <c r="M487" s="2">
        <v>2143.0</v>
      </c>
      <c r="N487" s="2">
        <v>1065.0</v>
      </c>
      <c r="O487" s="2">
        <v>1411.0</v>
      </c>
      <c r="P487" s="2">
        <v>1113.0</v>
      </c>
      <c r="Q487" s="2">
        <v>364.0</v>
      </c>
      <c r="R487" s="2">
        <v>20397.0</v>
      </c>
      <c r="S487" s="2">
        <v>12506.0</v>
      </c>
      <c r="T487" s="2">
        <v>7891.0</v>
      </c>
      <c r="U487" s="2">
        <v>12506.0</v>
      </c>
      <c r="V487" s="2">
        <v>0.0</v>
      </c>
      <c r="W487" s="2">
        <v>7891.0</v>
      </c>
    </row>
    <row r="488" ht="15.0" customHeight="1">
      <c r="A488" s="2">
        <v>2025.0</v>
      </c>
      <c r="B488" s="2" t="s">
        <v>59</v>
      </c>
      <c r="C488" s="2">
        <v>4.0</v>
      </c>
      <c r="D488" s="2" t="s">
        <v>60</v>
      </c>
      <c r="E488" s="2" t="s">
        <v>61</v>
      </c>
      <c r="F488" s="2" t="s">
        <v>48</v>
      </c>
      <c r="G488" s="2" t="s">
        <v>38</v>
      </c>
      <c r="H488" s="2" t="s">
        <v>35</v>
      </c>
      <c r="I488" s="2" t="s">
        <v>31</v>
      </c>
      <c r="J488" s="2">
        <v>1151.0</v>
      </c>
      <c r="K488" s="2">
        <v>615.0</v>
      </c>
      <c r="L488" s="2">
        <v>459.0</v>
      </c>
      <c r="M488" s="2">
        <v>424.0</v>
      </c>
      <c r="N488" s="2">
        <v>213.0</v>
      </c>
      <c r="O488" s="2">
        <v>293.0</v>
      </c>
      <c r="P488" s="2">
        <v>240.0</v>
      </c>
      <c r="Q488" s="2">
        <v>78.0</v>
      </c>
      <c r="R488" s="2">
        <v>4268.0</v>
      </c>
      <c r="S488" s="2">
        <v>0.0</v>
      </c>
      <c r="T488" s="2">
        <v>4268.0</v>
      </c>
      <c r="U488" s="2">
        <v>0.0</v>
      </c>
      <c r="V488" s="2">
        <v>0.0</v>
      </c>
      <c r="W488" s="2">
        <v>4268.0</v>
      </c>
    </row>
    <row r="489" ht="15.0" customHeight="1">
      <c r="A489" s="2">
        <v>2025.0</v>
      </c>
      <c r="B489" s="2" t="s">
        <v>59</v>
      </c>
      <c r="C489" s="2">
        <v>4.0</v>
      </c>
      <c r="D489" s="2" t="s">
        <v>60</v>
      </c>
      <c r="E489" s="2" t="s">
        <v>61</v>
      </c>
      <c r="F489" s="2" t="s">
        <v>48</v>
      </c>
      <c r="G489" s="2" t="s">
        <v>39</v>
      </c>
      <c r="H489" s="2" t="s">
        <v>40</v>
      </c>
      <c r="I489" s="2" t="s">
        <v>29</v>
      </c>
      <c r="J489" s="2">
        <v>23413.0</v>
      </c>
      <c r="K489" s="2">
        <v>13996.0</v>
      </c>
      <c r="L489" s="2">
        <v>6722.0</v>
      </c>
      <c r="M489" s="2">
        <v>6310.0</v>
      </c>
      <c r="N489" s="2">
        <v>5780.0</v>
      </c>
      <c r="O489" s="2">
        <v>10818.0</v>
      </c>
      <c r="P489" s="2">
        <v>10164.0</v>
      </c>
      <c r="Q489" s="2">
        <v>8450.0</v>
      </c>
      <c r="R489" s="2">
        <v>70960.0</v>
      </c>
      <c r="S489" s="2">
        <v>43371.0</v>
      </c>
      <c r="T489" s="2">
        <v>27589.0</v>
      </c>
      <c r="U489" s="2">
        <v>42681.0</v>
      </c>
      <c r="V489" s="2">
        <v>690.0</v>
      </c>
      <c r="W489" s="2">
        <v>28279.0</v>
      </c>
    </row>
    <row r="490" ht="15.0" customHeight="1">
      <c r="A490" s="2">
        <v>2025.0</v>
      </c>
      <c r="B490" s="2" t="s">
        <v>59</v>
      </c>
      <c r="C490" s="2">
        <v>4.0</v>
      </c>
      <c r="D490" s="2" t="s">
        <v>60</v>
      </c>
      <c r="E490" s="2" t="s">
        <v>61</v>
      </c>
      <c r="F490" s="2" t="s">
        <v>48</v>
      </c>
      <c r="G490" s="2" t="s">
        <v>39</v>
      </c>
      <c r="H490" s="2" t="s">
        <v>40</v>
      </c>
      <c r="I490" s="2" t="s">
        <v>30</v>
      </c>
      <c r="J490" s="2">
        <v>5411.0</v>
      </c>
      <c r="K490" s="2">
        <v>2742.0</v>
      </c>
      <c r="L490" s="2">
        <v>1121.0</v>
      </c>
      <c r="M490" s="2">
        <v>1042.0</v>
      </c>
      <c r="N490" s="2">
        <v>954.0</v>
      </c>
      <c r="O490" s="2">
        <v>1783.0</v>
      </c>
      <c r="P490" s="2">
        <v>1687.0</v>
      </c>
      <c r="Q490" s="2">
        <v>1370.0</v>
      </c>
      <c r="R490" s="2">
        <v>11235.0</v>
      </c>
      <c r="S490" s="2">
        <v>8363.0</v>
      </c>
      <c r="T490" s="2">
        <v>2872.0</v>
      </c>
      <c r="U490" s="2">
        <v>8363.0</v>
      </c>
      <c r="V490" s="2">
        <v>0.0</v>
      </c>
      <c r="W490" s="2">
        <v>2872.0</v>
      </c>
    </row>
    <row r="491" ht="15.0" customHeight="1">
      <c r="A491" s="2">
        <v>2025.0</v>
      </c>
      <c r="B491" s="2" t="s">
        <v>59</v>
      </c>
      <c r="C491" s="2">
        <v>4.0</v>
      </c>
      <c r="D491" s="2" t="s">
        <v>60</v>
      </c>
      <c r="E491" s="2" t="s">
        <v>61</v>
      </c>
      <c r="F491" s="2" t="s">
        <v>48</v>
      </c>
      <c r="G491" s="2" t="s">
        <v>39</v>
      </c>
      <c r="H491" s="2" t="s">
        <v>40</v>
      </c>
      <c r="I491" s="2" t="s">
        <v>31</v>
      </c>
      <c r="J491" s="2">
        <v>2222.0</v>
      </c>
      <c r="K491" s="2">
        <v>1504.0</v>
      </c>
      <c r="L491" s="2">
        <v>794.0</v>
      </c>
      <c r="M491" s="2">
        <v>693.0</v>
      </c>
      <c r="N491" s="2">
        <v>648.0</v>
      </c>
      <c r="O491" s="2">
        <v>1163.0</v>
      </c>
      <c r="P491" s="2">
        <v>1102.0</v>
      </c>
      <c r="Q491" s="2">
        <v>830.0</v>
      </c>
      <c r="R491" s="2">
        <v>8127.0</v>
      </c>
      <c r="S491" s="2">
        <v>0.0</v>
      </c>
      <c r="T491" s="2">
        <v>8127.0</v>
      </c>
      <c r="U491" s="2">
        <v>0.0</v>
      </c>
      <c r="V491" s="2">
        <v>0.0</v>
      </c>
      <c r="W491" s="2">
        <v>8127.0</v>
      </c>
    </row>
    <row r="492" ht="15.0" customHeight="1">
      <c r="A492" s="2">
        <v>2025.0</v>
      </c>
      <c r="B492" s="2" t="s">
        <v>59</v>
      </c>
      <c r="C492" s="2">
        <v>4.0</v>
      </c>
      <c r="D492" s="2" t="s">
        <v>60</v>
      </c>
      <c r="E492" s="2" t="s">
        <v>61</v>
      </c>
      <c r="F492" s="2" t="s">
        <v>48</v>
      </c>
      <c r="G492" s="2" t="s">
        <v>41</v>
      </c>
      <c r="H492" s="2" t="s">
        <v>42</v>
      </c>
      <c r="I492" s="2" t="s">
        <v>29</v>
      </c>
      <c r="J492" s="2">
        <v>12965.0</v>
      </c>
      <c r="K492" s="2">
        <v>7823.0</v>
      </c>
      <c r="L492" s="2">
        <v>2860.0</v>
      </c>
      <c r="M492" s="2">
        <v>2419.0</v>
      </c>
      <c r="N492" s="2">
        <v>1182.0</v>
      </c>
      <c r="O492" s="2">
        <v>1717.0</v>
      </c>
      <c r="P492" s="2">
        <v>1342.0</v>
      </c>
      <c r="Q492" s="2">
        <v>1.0</v>
      </c>
      <c r="R492" s="2">
        <v>11348.0</v>
      </c>
      <c r="S492" s="2">
        <v>14185.0</v>
      </c>
      <c r="T492" s="2">
        <v>-2837.0</v>
      </c>
      <c r="U492" s="2">
        <v>5119.0</v>
      </c>
      <c r="V492" s="2">
        <v>9066.0</v>
      </c>
      <c r="W492" s="2">
        <v>6229.0</v>
      </c>
    </row>
    <row r="493" ht="15.0" customHeight="1">
      <c r="A493" s="2">
        <v>2025.0</v>
      </c>
      <c r="B493" s="2" t="s">
        <v>59</v>
      </c>
      <c r="C493" s="2">
        <v>4.0</v>
      </c>
      <c r="D493" s="2" t="s">
        <v>60</v>
      </c>
      <c r="E493" s="2" t="s">
        <v>61</v>
      </c>
      <c r="F493" s="2" t="s">
        <v>48</v>
      </c>
      <c r="G493" s="2" t="s">
        <v>41</v>
      </c>
      <c r="H493" s="2" t="s">
        <v>42</v>
      </c>
      <c r="I493" s="2" t="s">
        <v>30</v>
      </c>
      <c r="J493" s="2">
        <v>4321.0</v>
      </c>
      <c r="K493" s="2">
        <v>2499.0</v>
      </c>
      <c r="L493" s="2">
        <v>1393.0</v>
      </c>
      <c r="M493" s="2">
        <v>1307.0</v>
      </c>
      <c r="N493" s="2">
        <v>687.0</v>
      </c>
      <c r="O493" s="2">
        <v>981.0</v>
      </c>
      <c r="P493" s="2">
        <v>770.0</v>
      </c>
      <c r="Q493" s="2">
        <v>0.0</v>
      </c>
      <c r="R493" s="2">
        <v>6110.0</v>
      </c>
      <c r="S493" s="2">
        <v>3459.0</v>
      </c>
      <c r="T493" s="2">
        <v>2651.0</v>
      </c>
      <c r="U493" s="2">
        <v>3459.0</v>
      </c>
      <c r="V493" s="2">
        <v>0.0</v>
      </c>
      <c r="W493" s="2">
        <v>2651.0</v>
      </c>
    </row>
    <row r="494" ht="15.0" customHeight="1">
      <c r="A494" s="2">
        <v>2025.0</v>
      </c>
      <c r="B494" s="2" t="s">
        <v>59</v>
      </c>
      <c r="C494" s="2">
        <v>4.0</v>
      </c>
      <c r="D494" s="2" t="s">
        <v>60</v>
      </c>
      <c r="E494" s="2" t="s">
        <v>61</v>
      </c>
      <c r="F494" s="2" t="s">
        <v>48</v>
      </c>
      <c r="G494" s="2" t="s">
        <v>41</v>
      </c>
      <c r="H494" s="2" t="s">
        <v>42</v>
      </c>
      <c r="I494" s="2" t="s">
        <v>31</v>
      </c>
      <c r="J494" s="2">
        <v>7032.0</v>
      </c>
      <c r="K494" s="2">
        <v>5025.0</v>
      </c>
      <c r="L494" s="2">
        <v>4422.0</v>
      </c>
      <c r="M494" s="2">
        <v>3604.0</v>
      </c>
      <c r="N494" s="2">
        <v>1468.0</v>
      </c>
      <c r="O494" s="2">
        <v>2084.0</v>
      </c>
      <c r="P494" s="2">
        <v>1651.0</v>
      </c>
      <c r="Q494" s="2">
        <v>0.0</v>
      </c>
      <c r="R494" s="2">
        <v>15251.0</v>
      </c>
      <c r="S494" s="2">
        <v>92.0</v>
      </c>
      <c r="T494" s="2">
        <v>15159.0</v>
      </c>
      <c r="U494" s="2">
        <v>92.0</v>
      </c>
      <c r="V494" s="2">
        <v>0.0</v>
      </c>
      <c r="W494" s="2">
        <v>15159.0</v>
      </c>
    </row>
    <row r="495" ht="15.0" customHeight="1">
      <c r="A495" s="2">
        <v>2025.0</v>
      </c>
      <c r="B495" s="2" t="s">
        <v>59</v>
      </c>
      <c r="C495" s="2">
        <v>4.0</v>
      </c>
      <c r="D495" s="2" t="s">
        <v>60</v>
      </c>
      <c r="E495" s="2" t="s">
        <v>61</v>
      </c>
      <c r="F495" s="2" t="s">
        <v>48</v>
      </c>
      <c r="G495" s="2" t="s">
        <v>43</v>
      </c>
      <c r="H495" s="2" t="s">
        <v>42</v>
      </c>
      <c r="I495" s="2" t="s">
        <v>29</v>
      </c>
      <c r="J495" s="2">
        <v>25954.0</v>
      </c>
      <c r="K495" s="2">
        <v>11807.0</v>
      </c>
      <c r="L495" s="2">
        <v>4016.0</v>
      </c>
      <c r="M495" s="2">
        <v>3698.0</v>
      </c>
      <c r="N495" s="2">
        <v>1735.0</v>
      </c>
      <c r="O495" s="2">
        <v>3364.0</v>
      </c>
      <c r="P495" s="2">
        <v>2860.0</v>
      </c>
      <c r="Q495" s="2">
        <v>0.0</v>
      </c>
      <c r="R495" s="2">
        <v>87206.0</v>
      </c>
      <c r="S495" s="2">
        <v>63262.0</v>
      </c>
      <c r="T495" s="2">
        <v>23944.0</v>
      </c>
      <c r="U495" s="2">
        <v>59549.0</v>
      </c>
      <c r="V495" s="2">
        <v>3713.0</v>
      </c>
      <c r="W495" s="2">
        <v>27657.0</v>
      </c>
    </row>
    <row r="496" ht="15.0" customHeight="1">
      <c r="A496" s="2">
        <v>2025.0</v>
      </c>
      <c r="B496" s="2" t="s">
        <v>59</v>
      </c>
      <c r="C496" s="2">
        <v>4.0</v>
      </c>
      <c r="D496" s="2" t="s">
        <v>60</v>
      </c>
      <c r="E496" s="2" t="s">
        <v>61</v>
      </c>
      <c r="F496" s="2" t="s">
        <v>48</v>
      </c>
      <c r="G496" s="2" t="s">
        <v>43</v>
      </c>
      <c r="H496" s="2" t="s">
        <v>42</v>
      </c>
      <c r="I496" s="2" t="s">
        <v>30</v>
      </c>
      <c r="J496" s="2">
        <v>5463.0</v>
      </c>
      <c r="K496" s="2">
        <v>1963.0</v>
      </c>
      <c r="L496" s="2">
        <v>677.0</v>
      </c>
      <c r="M496" s="2">
        <v>623.0</v>
      </c>
      <c r="N496" s="2">
        <v>298.0</v>
      </c>
      <c r="O496" s="2">
        <v>723.0</v>
      </c>
      <c r="P496" s="2">
        <v>633.0</v>
      </c>
      <c r="Q496" s="2">
        <v>0.0</v>
      </c>
      <c r="R496" s="2">
        <v>22333.0</v>
      </c>
      <c r="S496" s="2">
        <v>13884.0</v>
      </c>
      <c r="T496" s="2">
        <v>8449.0</v>
      </c>
      <c r="U496" s="2">
        <v>13884.0</v>
      </c>
      <c r="V496" s="2">
        <v>0.0</v>
      </c>
      <c r="W496" s="2">
        <v>8449.0</v>
      </c>
    </row>
    <row r="497" ht="15.0" customHeight="1">
      <c r="A497" s="2">
        <v>2025.0</v>
      </c>
      <c r="B497" s="2" t="s">
        <v>59</v>
      </c>
      <c r="C497" s="2">
        <v>4.0</v>
      </c>
      <c r="D497" s="2" t="s">
        <v>60</v>
      </c>
      <c r="E497" s="2" t="s">
        <v>61</v>
      </c>
      <c r="F497" s="2" t="s">
        <v>48</v>
      </c>
      <c r="G497" s="2" t="s">
        <v>43</v>
      </c>
      <c r="H497" s="2" t="s">
        <v>42</v>
      </c>
      <c r="I497" s="2" t="s">
        <v>31</v>
      </c>
      <c r="J497" s="2">
        <v>805.0</v>
      </c>
      <c r="K497" s="2">
        <v>556.0</v>
      </c>
      <c r="L497" s="2">
        <v>344.0</v>
      </c>
      <c r="M497" s="2">
        <v>284.0</v>
      </c>
      <c r="N497" s="2">
        <v>159.0</v>
      </c>
      <c r="O497" s="2">
        <v>436.0</v>
      </c>
      <c r="P497" s="2">
        <v>398.0</v>
      </c>
      <c r="Q497" s="2">
        <v>0.0</v>
      </c>
      <c r="R497" s="2">
        <v>14085.0</v>
      </c>
      <c r="S497" s="2">
        <v>22.0</v>
      </c>
      <c r="T497" s="2">
        <v>14063.0</v>
      </c>
      <c r="U497" s="2">
        <v>22.0</v>
      </c>
      <c r="V497" s="2">
        <v>0.0</v>
      </c>
      <c r="W497" s="2">
        <v>14063.0</v>
      </c>
    </row>
    <row r="498" ht="15.0" customHeight="1">
      <c r="A498" s="2">
        <v>2025.0</v>
      </c>
      <c r="B498" s="2" t="s">
        <v>59</v>
      </c>
      <c r="C498" s="2">
        <v>4.0</v>
      </c>
      <c r="D498" s="2" t="s">
        <v>60</v>
      </c>
      <c r="E498" s="2" t="s">
        <v>61</v>
      </c>
      <c r="F498" s="2" t="s">
        <v>48</v>
      </c>
      <c r="G498" s="2" t="s">
        <v>44</v>
      </c>
      <c r="H498" s="2" t="s">
        <v>45</v>
      </c>
      <c r="I498" s="2" t="s">
        <v>29</v>
      </c>
      <c r="J498" s="2">
        <v>1604.0</v>
      </c>
      <c r="K498" s="2">
        <v>820.0</v>
      </c>
      <c r="L498" s="2">
        <v>245.0</v>
      </c>
      <c r="M498" s="2">
        <v>234.0</v>
      </c>
      <c r="N498" s="2">
        <v>204.0</v>
      </c>
      <c r="O498" s="2">
        <v>386.0</v>
      </c>
      <c r="P498" s="2">
        <v>319.0</v>
      </c>
      <c r="Q498" s="2">
        <v>143.0</v>
      </c>
      <c r="R498" s="2">
        <v>7922.0</v>
      </c>
      <c r="S498" s="2">
        <v>6559.0</v>
      </c>
      <c r="T498" s="2">
        <v>1362.0</v>
      </c>
      <c r="U498" s="2">
        <v>6559.0</v>
      </c>
      <c r="V498" s="2">
        <v>0.0</v>
      </c>
      <c r="W498" s="2">
        <v>1362.0</v>
      </c>
    </row>
    <row r="499" ht="15.0" customHeight="1">
      <c r="A499" s="2">
        <v>2025.0</v>
      </c>
      <c r="B499" s="2" t="s">
        <v>59</v>
      </c>
      <c r="C499" s="2">
        <v>4.0</v>
      </c>
      <c r="D499" s="2" t="s">
        <v>60</v>
      </c>
      <c r="E499" s="2" t="s">
        <v>61</v>
      </c>
      <c r="F499" s="2" t="s">
        <v>48</v>
      </c>
      <c r="G499" s="2" t="s">
        <v>44</v>
      </c>
      <c r="H499" s="2" t="s">
        <v>45</v>
      </c>
      <c r="I499" s="2" t="s">
        <v>30</v>
      </c>
      <c r="J499" s="2">
        <v>4663.0</v>
      </c>
      <c r="K499" s="2">
        <v>2392.0</v>
      </c>
      <c r="L499" s="2">
        <v>630.0</v>
      </c>
      <c r="M499" s="2">
        <v>598.0</v>
      </c>
      <c r="N499" s="2">
        <v>372.0</v>
      </c>
      <c r="O499" s="2">
        <v>561.0</v>
      </c>
      <c r="P499" s="2">
        <v>457.0</v>
      </c>
      <c r="Q499" s="2">
        <v>175.0</v>
      </c>
      <c r="R499" s="2">
        <v>9811.0</v>
      </c>
      <c r="S499" s="2">
        <v>6995.0</v>
      </c>
      <c r="T499" s="2">
        <v>2815.0</v>
      </c>
      <c r="U499" s="2">
        <v>6995.0</v>
      </c>
      <c r="V499" s="2">
        <v>0.0</v>
      </c>
      <c r="W499" s="2">
        <v>2815.0</v>
      </c>
    </row>
    <row r="500" ht="15.0" customHeight="1">
      <c r="A500" s="2">
        <v>2025.0</v>
      </c>
      <c r="B500" s="2" t="s">
        <v>59</v>
      </c>
      <c r="C500" s="2">
        <v>4.0</v>
      </c>
      <c r="D500" s="2" t="s">
        <v>60</v>
      </c>
      <c r="E500" s="2" t="s">
        <v>61</v>
      </c>
      <c r="F500" s="2" t="s">
        <v>48</v>
      </c>
      <c r="G500" s="2" t="s">
        <v>44</v>
      </c>
      <c r="H500" s="2" t="s">
        <v>45</v>
      </c>
      <c r="I500" s="2" t="s">
        <v>31</v>
      </c>
      <c r="J500" s="2">
        <v>263.0</v>
      </c>
      <c r="K500" s="2">
        <v>154.0</v>
      </c>
      <c r="L500" s="2">
        <v>66.0</v>
      </c>
      <c r="M500" s="2">
        <v>60.0</v>
      </c>
      <c r="N500" s="2">
        <v>48.0</v>
      </c>
      <c r="O500" s="2">
        <v>102.0</v>
      </c>
      <c r="P500" s="2">
        <v>82.0</v>
      </c>
      <c r="Q500" s="2">
        <v>19.0</v>
      </c>
      <c r="R500" s="2">
        <v>2198.0</v>
      </c>
      <c r="S500" s="2">
        <v>246.0</v>
      </c>
      <c r="T500" s="2">
        <v>1952.0</v>
      </c>
      <c r="U500" s="2">
        <v>246.0</v>
      </c>
      <c r="V500" s="2">
        <v>0.0</v>
      </c>
      <c r="W500" s="2">
        <v>1952.0</v>
      </c>
    </row>
    <row r="501" ht="15.0" customHeight="1">
      <c r="A501" s="2">
        <v>2025.0</v>
      </c>
      <c r="B501" s="2" t="s">
        <v>59</v>
      </c>
      <c r="C501" s="2">
        <v>4.0</v>
      </c>
      <c r="D501" s="2" t="s">
        <v>60</v>
      </c>
      <c r="E501" s="2" t="s">
        <v>61</v>
      </c>
      <c r="F501" s="2" t="s">
        <v>48</v>
      </c>
      <c r="G501" s="2" t="s">
        <v>46</v>
      </c>
      <c r="H501" s="2" t="s">
        <v>47</v>
      </c>
      <c r="I501" s="2" t="s">
        <v>29</v>
      </c>
      <c r="J501" s="2">
        <v>13481.0</v>
      </c>
      <c r="K501" s="2">
        <v>6498.0</v>
      </c>
      <c r="L501" s="2">
        <v>2366.0</v>
      </c>
      <c r="M501" s="2">
        <v>2215.0</v>
      </c>
      <c r="N501" s="2">
        <v>2018.0</v>
      </c>
      <c r="O501" s="2">
        <v>4044.0</v>
      </c>
      <c r="P501" s="2">
        <v>3318.0</v>
      </c>
      <c r="Q501" s="2">
        <v>1419.0</v>
      </c>
      <c r="R501" s="2">
        <v>111666.0</v>
      </c>
      <c r="S501" s="2">
        <v>71958.0</v>
      </c>
      <c r="T501" s="2">
        <v>39708.0</v>
      </c>
      <c r="U501" s="2">
        <v>71098.0</v>
      </c>
      <c r="V501" s="2">
        <v>860.0</v>
      </c>
      <c r="W501" s="2">
        <v>40568.0</v>
      </c>
    </row>
    <row r="502" ht="15.0" customHeight="1">
      <c r="A502" s="2">
        <v>2025.0</v>
      </c>
      <c r="B502" s="2" t="s">
        <v>59</v>
      </c>
      <c r="C502" s="2">
        <v>4.0</v>
      </c>
      <c r="D502" s="2" t="s">
        <v>60</v>
      </c>
      <c r="E502" s="2" t="s">
        <v>61</v>
      </c>
      <c r="F502" s="2" t="s">
        <v>48</v>
      </c>
      <c r="G502" s="2" t="s">
        <v>46</v>
      </c>
      <c r="H502" s="2" t="s">
        <v>47</v>
      </c>
      <c r="I502" s="2" t="s">
        <v>30</v>
      </c>
      <c r="J502" s="2">
        <v>5525.0</v>
      </c>
      <c r="K502" s="2">
        <v>1615.0</v>
      </c>
      <c r="L502" s="2">
        <v>776.0</v>
      </c>
      <c r="M502" s="2">
        <v>734.0</v>
      </c>
      <c r="N502" s="2">
        <v>684.0</v>
      </c>
      <c r="O502" s="2">
        <v>1379.0</v>
      </c>
      <c r="P502" s="2">
        <v>1150.0</v>
      </c>
      <c r="Q502" s="2">
        <v>477.0</v>
      </c>
      <c r="R502" s="2">
        <v>40813.0</v>
      </c>
      <c r="S502" s="2">
        <v>29933.0</v>
      </c>
      <c r="T502" s="2">
        <v>10881.0</v>
      </c>
      <c r="U502" s="2">
        <v>29933.0</v>
      </c>
      <c r="V502" s="2">
        <v>0.0</v>
      </c>
      <c r="W502" s="2">
        <v>10881.0</v>
      </c>
    </row>
    <row r="503" ht="15.0" customHeight="1">
      <c r="A503" s="2">
        <v>2025.0</v>
      </c>
      <c r="B503" s="2" t="s">
        <v>59</v>
      </c>
      <c r="C503" s="2">
        <v>4.0</v>
      </c>
      <c r="D503" s="2" t="s">
        <v>60</v>
      </c>
      <c r="E503" s="2" t="s">
        <v>61</v>
      </c>
      <c r="F503" s="2" t="s">
        <v>48</v>
      </c>
      <c r="G503" s="2" t="s">
        <v>46</v>
      </c>
      <c r="H503" s="2" t="s">
        <v>47</v>
      </c>
      <c r="I503" s="2" t="s">
        <v>31</v>
      </c>
      <c r="J503" s="2">
        <v>1044.0</v>
      </c>
      <c r="K503" s="2">
        <v>487.0</v>
      </c>
      <c r="L503" s="2">
        <v>251.0</v>
      </c>
      <c r="M503" s="2">
        <v>204.0</v>
      </c>
      <c r="N503" s="2">
        <v>193.0</v>
      </c>
      <c r="O503" s="2">
        <v>438.0</v>
      </c>
      <c r="P503" s="2">
        <v>372.0</v>
      </c>
      <c r="Q503" s="2">
        <v>175.0</v>
      </c>
      <c r="R503" s="2">
        <v>15296.0</v>
      </c>
      <c r="S503" s="2">
        <v>105.0</v>
      </c>
      <c r="T503" s="2">
        <v>15192.0</v>
      </c>
      <c r="U503" s="2">
        <v>105.0</v>
      </c>
      <c r="V503" s="2">
        <v>0.0</v>
      </c>
      <c r="W503" s="2">
        <v>15192.0</v>
      </c>
    </row>
    <row r="504" ht="15.0" customHeight="1">
      <c r="A504" s="2">
        <v>2025.0</v>
      </c>
      <c r="B504" s="2" t="s">
        <v>23</v>
      </c>
      <c r="C504" s="2">
        <v>8.0</v>
      </c>
      <c r="D504" s="2" t="s">
        <v>62</v>
      </c>
      <c r="E504" s="2" t="s">
        <v>63</v>
      </c>
      <c r="F504" s="2" t="s">
        <v>26</v>
      </c>
      <c r="G504" s="2" t="s">
        <v>27</v>
      </c>
      <c r="H504" s="2" t="s">
        <v>28</v>
      </c>
      <c r="I504" s="2" t="s">
        <v>29</v>
      </c>
      <c r="J504" s="2">
        <v>4668.0</v>
      </c>
      <c r="K504" s="2">
        <v>2464.0</v>
      </c>
      <c r="L504" s="2">
        <v>716.0</v>
      </c>
      <c r="M504" s="2">
        <v>680.0</v>
      </c>
      <c r="N504" s="2">
        <v>513.0</v>
      </c>
      <c r="O504" s="2">
        <v>919.0</v>
      </c>
      <c r="P504" s="2">
        <v>765.0</v>
      </c>
      <c r="Q504" s="2">
        <v>141.0</v>
      </c>
      <c r="R504" s="2">
        <v>16654.0</v>
      </c>
      <c r="S504" s="2">
        <v>10244.0</v>
      </c>
      <c r="T504" s="2">
        <v>6410.0</v>
      </c>
      <c r="U504" s="2">
        <v>9999.0</v>
      </c>
      <c r="V504" s="2">
        <v>245.0</v>
      </c>
      <c r="W504" s="2">
        <v>6655.0</v>
      </c>
    </row>
    <row r="505" ht="15.0" customHeight="1">
      <c r="A505" s="2">
        <v>2025.0</v>
      </c>
      <c r="B505" s="2" t="s">
        <v>23</v>
      </c>
      <c r="C505" s="2">
        <v>8.0</v>
      </c>
      <c r="D505" s="2" t="s">
        <v>62</v>
      </c>
      <c r="E505" s="2" t="s">
        <v>63</v>
      </c>
      <c r="F505" s="2" t="s">
        <v>26</v>
      </c>
      <c r="G505" s="2" t="s">
        <v>27</v>
      </c>
      <c r="H505" s="2" t="s">
        <v>28</v>
      </c>
      <c r="I505" s="2" t="s">
        <v>30</v>
      </c>
      <c r="J505" s="2">
        <v>1309.0</v>
      </c>
      <c r="K505" s="2">
        <v>533.0</v>
      </c>
      <c r="L505" s="2">
        <v>148.0</v>
      </c>
      <c r="M505" s="2">
        <v>140.0</v>
      </c>
      <c r="N505" s="2">
        <v>113.0</v>
      </c>
      <c r="O505" s="2">
        <v>196.0</v>
      </c>
      <c r="P505" s="2">
        <v>170.0</v>
      </c>
      <c r="Q505" s="2">
        <v>31.0</v>
      </c>
      <c r="R505" s="2">
        <v>3578.0</v>
      </c>
      <c r="S505" s="2">
        <v>1462.0</v>
      </c>
      <c r="T505" s="2">
        <v>2115.0</v>
      </c>
      <c r="U505" s="2">
        <v>1462.0</v>
      </c>
      <c r="V505" s="2">
        <v>0.0</v>
      </c>
      <c r="W505" s="2">
        <v>2115.0</v>
      </c>
    </row>
    <row r="506" ht="15.0" customHeight="1">
      <c r="A506" s="2">
        <v>2025.0</v>
      </c>
      <c r="B506" s="2" t="s">
        <v>23</v>
      </c>
      <c r="C506" s="2">
        <v>8.0</v>
      </c>
      <c r="D506" s="2" t="s">
        <v>62</v>
      </c>
      <c r="E506" s="2" t="s">
        <v>63</v>
      </c>
      <c r="F506" s="2" t="s">
        <v>26</v>
      </c>
      <c r="G506" s="2" t="s">
        <v>27</v>
      </c>
      <c r="H506" s="2" t="s">
        <v>28</v>
      </c>
      <c r="I506" s="2" t="s">
        <v>31</v>
      </c>
      <c r="J506" s="2">
        <v>409.0</v>
      </c>
      <c r="K506" s="2">
        <v>250.0</v>
      </c>
      <c r="L506" s="2">
        <v>176.0</v>
      </c>
      <c r="M506" s="2">
        <v>162.0</v>
      </c>
      <c r="N506" s="2">
        <v>117.0</v>
      </c>
      <c r="O506" s="2">
        <v>211.0</v>
      </c>
      <c r="P506" s="2">
        <v>180.0</v>
      </c>
      <c r="Q506" s="2">
        <v>37.0</v>
      </c>
      <c r="R506" s="2">
        <v>3912.0</v>
      </c>
      <c r="S506" s="2">
        <v>375.0</v>
      </c>
      <c r="T506" s="2">
        <v>3537.0</v>
      </c>
      <c r="U506" s="2">
        <v>375.0</v>
      </c>
      <c r="V506" s="2">
        <v>0.0</v>
      </c>
      <c r="W506" s="2">
        <v>3537.0</v>
      </c>
    </row>
    <row r="507" ht="15.0" customHeight="1">
      <c r="A507" s="2">
        <v>2025.0</v>
      </c>
      <c r="B507" s="2" t="s">
        <v>23</v>
      </c>
      <c r="C507" s="2">
        <v>8.0</v>
      </c>
      <c r="D507" s="2" t="s">
        <v>62</v>
      </c>
      <c r="E507" s="2" t="s">
        <v>63</v>
      </c>
      <c r="F507" s="2" t="s">
        <v>26</v>
      </c>
      <c r="G507" s="2" t="s">
        <v>32</v>
      </c>
      <c r="H507" s="2" t="s">
        <v>28</v>
      </c>
      <c r="I507" s="2" t="s">
        <v>29</v>
      </c>
      <c r="J507" s="2">
        <v>10721.0</v>
      </c>
      <c r="K507" s="2">
        <v>5800.0</v>
      </c>
      <c r="L507" s="2">
        <v>2896.0</v>
      </c>
      <c r="M507" s="2">
        <v>2772.0</v>
      </c>
      <c r="N507" s="2">
        <v>1810.0</v>
      </c>
      <c r="O507" s="2">
        <v>2238.0</v>
      </c>
      <c r="P507" s="2">
        <v>1943.0</v>
      </c>
      <c r="Q507" s="2">
        <v>19.0</v>
      </c>
      <c r="R507" s="2">
        <v>17713.0</v>
      </c>
      <c r="S507" s="2">
        <v>7244.0</v>
      </c>
      <c r="T507" s="2">
        <v>10469.0</v>
      </c>
      <c r="U507" s="2">
        <v>7143.0</v>
      </c>
      <c r="V507" s="2">
        <v>101.0</v>
      </c>
      <c r="W507" s="2">
        <v>10570.0</v>
      </c>
    </row>
    <row r="508" ht="15.0" customHeight="1">
      <c r="A508" s="2">
        <v>2025.0</v>
      </c>
      <c r="B508" s="2" t="s">
        <v>23</v>
      </c>
      <c r="C508" s="2">
        <v>8.0</v>
      </c>
      <c r="D508" s="2" t="s">
        <v>62</v>
      </c>
      <c r="E508" s="2" t="s">
        <v>63</v>
      </c>
      <c r="F508" s="2" t="s">
        <v>26</v>
      </c>
      <c r="G508" s="2" t="s">
        <v>32</v>
      </c>
      <c r="H508" s="2" t="s">
        <v>28</v>
      </c>
      <c r="I508" s="2" t="s">
        <v>30</v>
      </c>
      <c r="J508" s="2">
        <v>17638.0</v>
      </c>
      <c r="K508" s="2">
        <v>6649.0</v>
      </c>
      <c r="L508" s="2">
        <v>3173.0</v>
      </c>
      <c r="M508" s="2">
        <v>3047.0</v>
      </c>
      <c r="N508" s="2">
        <v>1832.0</v>
      </c>
      <c r="O508" s="2">
        <v>2215.0</v>
      </c>
      <c r="P508" s="2">
        <v>1927.0</v>
      </c>
      <c r="Q508" s="2">
        <v>18.0</v>
      </c>
      <c r="R508" s="2">
        <v>16657.0</v>
      </c>
      <c r="S508" s="2">
        <v>14295.0</v>
      </c>
      <c r="T508" s="2">
        <v>2362.0</v>
      </c>
      <c r="U508" s="2">
        <v>14295.0</v>
      </c>
      <c r="V508" s="2">
        <v>0.0</v>
      </c>
      <c r="W508" s="2">
        <v>2362.0</v>
      </c>
    </row>
    <row r="509" ht="15.0" customHeight="1">
      <c r="A509" s="2">
        <v>2025.0</v>
      </c>
      <c r="B509" s="2" t="s">
        <v>23</v>
      </c>
      <c r="C509" s="2">
        <v>8.0</v>
      </c>
      <c r="D509" s="2" t="s">
        <v>62</v>
      </c>
      <c r="E509" s="2" t="s">
        <v>63</v>
      </c>
      <c r="F509" s="2" t="s">
        <v>26</v>
      </c>
      <c r="G509" s="2" t="s">
        <v>32</v>
      </c>
      <c r="H509" s="2" t="s">
        <v>28</v>
      </c>
      <c r="I509" s="2" t="s">
        <v>31</v>
      </c>
      <c r="J509" s="2">
        <v>8632.0</v>
      </c>
      <c r="K509" s="2">
        <v>5006.0</v>
      </c>
      <c r="L509" s="2">
        <v>3535.0</v>
      </c>
      <c r="M509" s="2">
        <v>3212.0</v>
      </c>
      <c r="N509" s="2">
        <v>2007.0</v>
      </c>
      <c r="O509" s="2">
        <v>2411.0</v>
      </c>
      <c r="P509" s="2">
        <v>2092.0</v>
      </c>
      <c r="Q509" s="2">
        <v>25.0</v>
      </c>
      <c r="R509" s="2">
        <v>19072.0</v>
      </c>
      <c r="S509" s="2">
        <v>906.0</v>
      </c>
      <c r="T509" s="2">
        <v>18166.0</v>
      </c>
      <c r="U509" s="2">
        <v>906.0</v>
      </c>
      <c r="V509" s="2">
        <v>0.0</v>
      </c>
      <c r="W509" s="2">
        <v>18166.0</v>
      </c>
    </row>
    <row r="510" ht="15.0" customHeight="1">
      <c r="A510" s="2">
        <v>2025.0</v>
      </c>
      <c r="B510" s="2" t="s">
        <v>23</v>
      </c>
      <c r="C510" s="2">
        <v>8.0</v>
      </c>
      <c r="D510" s="2" t="s">
        <v>62</v>
      </c>
      <c r="E510" s="2" t="s">
        <v>63</v>
      </c>
      <c r="F510" s="2" t="s">
        <v>26</v>
      </c>
      <c r="G510" s="2" t="s">
        <v>33</v>
      </c>
      <c r="H510" s="2" t="s">
        <v>28</v>
      </c>
      <c r="I510" s="2" t="s">
        <v>29</v>
      </c>
      <c r="J510" s="2">
        <v>10738.0</v>
      </c>
      <c r="K510" s="2">
        <v>6054.0</v>
      </c>
      <c r="L510" s="2">
        <v>2958.0</v>
      </c>
      <c r="M510" s="2">
        <v>2840.0</v>
      </c>
      <c r="N510" s="2">
        <v>1520.0</v>
      </c>
      <c r="O510" s="2">
        <v>1768.0</v>
      </c>
      <c r="P510" s="2">
        <v>1608.0</v>
      </c>
      <c r="Q510" s="2">
        <v>194.0</v>
      </c>
      <c r="R510" s="2">
        <v>16773.0</v>
      </c>
      <c r="S510" s="2">
        <v>10496.0</v>
      </c>
      <c r="T510" s="2">
        <v>6277.0</v>
      </c>
      <c r="U510" s="2">
        <v>10495.0</v>
      </c>
      <c r="V510" s="2">
        <v>1.0</v>
      </c>
      <c r="W510" s="2">
        <v>6278.0</v>
      </c>
    </row>
    <row r="511" ht="15.0" customHeight="1">
      <c r="A511" s="2">
        <v>2025.0</v>
      </c>
      <c r="B511" s="2" t="s">
        <v>23</v>
      </c>
      <c r="C511" s="2">
        <v>8.0</v>
      </c>
      <c r="D511" s="2" t="s">
        <v>62</v>
      </c>
      <c r="E511" s="2" t="s">
        <v>63</v>
      </c>
      <c r="F511" s="2" t="s">
        <v>26</v>
      </c>
      <c r="G511" s="2" t="s">
        <v>33</v>
      </c>
      <c r="H511" s="2" t="s">
        <v>28</v>
      </c>
      <c r="I511" s="2" t="s">
        <v>30</v>
      </c>
      <c r="J511" s="2">
        <v>4634.0</v>
      </c>
      <c r="K511" s="2">
        <v>2291.0</v>
      </c>
      <c r="L511" s="2">
        <v>1080.0</v>
      </c>
      <c r="M511" s="2">
        <v>1028.0</v>
      </c>
      <c r="N511" s="2">
        <v>567.0</v>
      </c>
      <c r="O511" s="2">
        <v>652.0</v>
      </c>
      <c r="P511" s="2">
        <v>604.0</v>
      </c>
      <c r="Q511" s="2">
        <v>39.0</v>
      </c>
      <c r="R511" s="2">
        <v>5889.0</v>
      </c>
      <c r="S511" s="2">
        <v>3815.0</v>
      </c>
      <c r="T511" s="2">
        <v>2074.0</v>
      </c>
      <c r="U511" s="2">
        <v>3815.0</v>
      </c>
      <c r="V511" s="2">
        <v>0.0</v>
      </c>
      <c r="W511" s="2">
        <v>2074.0</v>
      </c>
    </row>
    <row r="512" ht="15.0" customHeight="1">
      <c r="A512" s="2">
        <v>2025.0</v>
      </c>
      <c r="B512" s="2" t="s">
        <v>23</v>
      </c>
      <c r="C512" s="2">
        <v>8.0</v>
      </c>
      <c r="D512" s="2" t="s">
        <v>62</v>
      </c>
      <c r="E512" s="2" t="s">
        <v>63</v>
      </c>
      <c r="F512" s="2" t="s">
        <v>26</v>
      </c>
      <c r="G512" s="2" t="s">
        <v>33</v>
      </c>
      <c r="H512" s="2" t="s">
        <v>28</v>
      </c>
      <c r="I512" s="2" t="s">
        <v>31</v>
      </c>
      <c r="J512" s="2">
        <v>918.0</v>
      </c>
      <c r="K512" s="2">
        <v>392.0</v>
      </c>
      <c r="L512" s="2">
        <v>285.0</v>
      </c>
      <c r="M512" s="2">
        <v>245.0</v>
      </c>
      <c r="N512" s="2">
        <v>128.0</v>
      </c>
      <c r="O512" s="2">
        <v>149.0</v>
      </c>
      <c r="P512" s="2">
        <v>140.0</v>
      </c>
      <c r="Q512" s="2">
        <v>11.0</v>
      </c>
      <c r="R512" s="2">
        <v>1455.0</v>
      </c>
      <c r="S512" s="2">
        <v>144.0</v>
      </c>
      <c r="T512" s="2">
        <v>1312.0</v>
      </c>
      <c r="U512" s="2">
        <v>144.0</v>
      </c>
      <c r="V512" s="2">
        <v>0.0</v>
      </c>
      <c r="W512" s="2">
        <v>1312.0</v>
      </c>
    </row>
    <row r="513" ht="15.0" customHeight="1">
      <c r="A513" s="2">
        <v>2025.0</v>
      </c>
      <c r="B513" s="2" t="s">
        <v>23</v>
      </c>
      <c r="C513" s="2">
        <v>8.0</v>
      </c>
      <c r="D513" s="2" t="s">
        <v>62</v>
      </c>
      <c r="E513" s="2" t="s">
        <v>63</v>
      </c>
      <c r="F513" s="2" t="s">
        <v>26</v>
      </c>
      <c r="G513" s="2" t="s">
        <v>34</v>
      </c>
      <c r="H513" s="2" t="s">
        <v>35</v>
      </c>
      <c r="I513" s="2" t="s">
        <v>29</v>
      </c>
      <c r="J513" s="2">
        <v>8329.0</v>
      </c>
      <c r="K513" s="2">
        <v>5360.0</v>
      </c>
      <c r="L513" s="2">
        <v>2755.0</v>
      </c>
      <c r="M513" s="2">
        <v>2640.0</v>
      </c>
      <c r="N513" s="2">
        <v>794.0</v>
      </c>
      <c r="O513" s="2">
        <v>965.0</v>
      </c>
      <c r="P513" s="2">
        <v>708.0</v>
      </c>
      <c r="Q513" s="2">
        <v>10.0</v>
      </c>
      <c r="R513" s="2">
        <v>9455.0</v>
      </c>
      <c r="S513" s="2">
        <v>5141.0</v>
      </c>
      <c r="T513" s="2">
        <v>4314.0</v>
      </c>
      <c r="U513" s="2">
        <v>4950.0</v>
      </c>
      <c r="V513" s="2">
        <v>191.0</v>
      </c>
      <c r="W513" s="2">
        <v>4505.0</v>
      </c>
    </row>
    <row r="514" ht="15.0" customHeight="1">
      <c r="A514" s="2">
        <v>2025.0</v>
      </c>
      <c r="B514" s="2" t="s">
        <v>23</v>
      </c>
      <c r="C514" s="2">
        <v>8.0</v>
      </c>
      <c r="D514" s="2" t="s">
        <v>62</v>
      </c>
      <c r="E514" s="2" t="s">
        <v>63</v>
      </c>
      <c r="F514" s="2" t="s">
        <v>26</v>
      </c>
      <c r="G514" s="2" t="s">
        <v>34</v>
      </c>
      <c r="H514" s="2" t="s">
        <v>35</v>
      </c>
      <c r="I514" s="2" t="s">
        <v>30</v>
      </c>
      <c r="J514" s="2">
        <v>3021.0</v>
      </c>
      <c r="K514" s="2">
        <v>1572.0</v>
      </c>
      <c r="L514" s="2">
        <v>726.0</v>
      </c>
      <c r="M514" s="2">
        <v>686.0</v>
      </c>
      <c r="N514" s="2">
        <v>215.0</v>
      </c>
      <c r="O514" s="2">
        <v>259.0</v>
      </c>
      <c r="P514" s="2">
        <v>186.0</v>
      </c>
      <c r="Q514" s="2">
        <v>7.0</v>
      </c>
      <c r="R514" s="2">
        <v>2400.0</v>
      </c>
      <c r="S514" s="2">
        <v>1201.0</v>
      </c>
      <c r="T514" s="2">
        <v>1198.0</v>
      </c>
      <c r="U514" s="2">
        <v>1201.0</v>
      </c>
      <c r="V514" s="2">
        <v>0.0</v>
      </c>
      <c r="W514" s="2">
        <v>1198.0</v>
      </c>
    </row>
    <row r="515" ht="15.0" customHeight="1">
      <c r="A515" s="2">
        <v>2025.0</v>
      </c>
      <c r="B515" s="2" t="s">
        <v>23</v>
      </c>
      <c r="C515" s="2">
        <v>8.0</v>
      </c>
      <c r="D515" s="2" t="s">
        <v>62</v>
      </c>
      <c r="E515" s="2" t="s">
        <v>63</v>
      </c>
      <c r="F515" s="2" t="s">
        <v>26</v>
      </c>
      <c r="G515" s="2" t="s">
        <v>34</v>
      </c>
      <c r="H515" s="2" t="s">
        <v>35</v>
      </c>
      <c r="I515" s="2" t="s">
        <v>31</v>
      </c>
      <c r="J515" s="2">
        <v>922.0</v>
      </c>
      <c r="K515" s="2">
        <v>554.0</v>
      </c>
      <c r="L515" s="2">
        <v>316.0</v>
      </c>
      <c r="M515" s="2">
        <v>265.0</v>
      </c>
      <c r="N515" s="2">
        <v>67.0</v>
      </c>
      <c r="O515" s="2">
        <v>83.0</v>
      </c>
      <c r="P515" s="2">
        <v>63.0</v>
      </c>
      <c r="Q515" s="2">
        <v>3.0</v>
      </c>
      <c r="R515" s="2">
        <v>913.0</v>
      </c>
      <c r="S515" s="2">
        <v>11.0</v>
      </c>
      <c r="T515" s="2">
        <v>902.0</v>
      </c>
      <c r="U515" s="2">
        <v>11.0</v>
      </c>
      <c r="V515" s="2">
        <v>0.0</v>
      </c>
      <c r="W515" s="2">
        <v>902.0</v>
      </c>
    </row>
    <row r="516" ht="15.0" customHeight="1">
      <c r="A516" s="2">
        <v>2025.0</v>
      </c>
      <c r="B516" s="2" t="s">
        <v>23</v>
      </c>
      <c r="C516" s="2">
        <v>8.0</v>
      </c>
      <c r="D516" s="2" t="s">
        <v>62</v>
      </c>
      <c r="E516" s="2" t="s">
        <v>63</v>
      </c>
      <c r="F516" s="2" t="s">
        <v>26</v>
      </c>
      <c r="G516" s="2" t="s">
        <v>36</v>
      </c>
      <c r="H516" s="2" t="s">
        <v>35</v>
      </c>
      <c r="I516" s="2" t="s">
        <v>29</v>
      </c>
      <c r="J516" s="2">
        <v>5872.0</v>
      </c>
      <c r="K516" s="2">
        <v>4005.0</v>
      </c>
      <c r="L516" s="2">
        <v>2504.0</v>
      </c>
      <c r="M516" s="2">
        <v>2424.0</v>
      </c>
      <c r="N516" s="2">
        <v>887.0</v>
      </c>
      <c r="O516" s="2">
        <v>1134.0</v>
      </c>
      <c r="P516" s="2">
        <v>913.0</v>
      </c>
      <c r="Q516" s="2">
        <v>0.0</v>
      </c>
      <c r="R516" s="2">
        <v>10243.0</v>
      </c>
      <c r="S516" s="2">
        <v>5713.0</v>
      </c>
      <c r="T516" s="2">
        <v>4530.0</v>
      </c>
      <c r="U516" s="2">
        <v>5713.0</v>
      </c>
      <c r="V516" s="2">
        <v>0.0</v>
      </c>
      <c r="W516" s="2">
        <v>4530.0</v>
      </c>
    </row>
    <row r="517" ht="15.0" customHeight="1">
      <c r="A517" s="2">
        <v>2025.0</v>
      </c>
      <c r="B517" s="2" t="s">
        <v>23</v>
      </c>
      <c r="C517" s="2">
        <v>8.0</v>
      </c>
      <c r="D517" s="2" t="s">
        <v>62</v>
      </c>
      <c r="E517" s="2" t="s">
        <v>63</v>
      </c>
      <c r="F517" s="2" t="s">
        <v>26</v>
      </c>
      <c r="G517" s="2" t="s">
        <v>36</v>
      </c>
      <c r="H517" s="2" t="s">
        <v>35</v>
      </c>
      <c r="I517" s="2" t="s">
        <v>30</v>
      </c>
      <c r="J517" s="2">
        <v>1191.0</v>
      </c>
      <c r="K517" s="2">
        <v>332.0</v>
      </c>
      <c r="L517" s="2">
        <v>176.0</v>
      </c>
      <c r="M517" s="2">
        <v>170.0</v>
      </c>
      <c r="N517" s="2">
        <v>67.0</v>
      </c>
      <c r="O517" s="2">
        <v>85.0</v>
      </c>
      <c r="P517" s="2">
        <v>70.0</v>
      </c>
      <c r="Q517" s="2">
        <v>0.0</v>
      </c>
      <c r="R517" s="2">
        <v>830.0</v>
      </c>
      <c r="S517" s="2">
        <v>1292.0</v>
      </c>
      <c r="T517" s="2">
        <v>-461.0</v>
      </c>
      <c r="U517" s="2">
        <v>1292.0</v>
      </c>
      <c r="V517" s="2">
        <v>0.0</v>
      </c>
      <c r="W517" s="2">
        <v>-461.0</v>
      </c>
    </row>
    <row r="518" ht="15.0" customHeight="1">
      <c r="A518" s="2">
        <v>2025.0</v>
      </c>
      <c r="B518" s="2" t="s">
        <v>23</v>
      </c>
      <c r="C518" s="2">
        <v>8.0</v>
      </c>
      <c r="D518" s="2" t="s">
        <v>62</v>
      </c>
      <c r="E518" s="2" t="s">
        <v>63</v>
      </c>
      <c r="F518" s="2" t="s">
        <v>26</v>
      </c>
      <c r="G518" s="2" t="s">
        <v>36</v>
      </c>
      <c r="H518" s="2" t="s">
        <v>35</v>
      </c>
      <c r="I518" s="2" t="s">
        <v>31</v>
      </c>
      <c r="J518" s="2">
        <v>719.0</v>
      </c>
      <c r="K518" s="2">
        <v>390.0</v>
      </c>
      <c r="L518" s="2">
        <v>256.0</v>
      </c>
      <c r="M518" s="2">
        <v>227.0</v>
      </c>
      <c r="N518" s="2">
        <v>86.0</v>
      </c>
      <c r="O518" s="2">
        <v>104.0</v>
      </c>
      <c r="P518" s="2">
        <v>75.0</v>
      </c>
      <c r="Q518" s="2">
        <v>0.0</v>
      </c>
      <c r="R518" s="2">
        <v>846.0</v>
      </c>
      <c r="S518" s="2">
        <v>0.0</v>
      </c>
      <c r="T518" s="2">
        <v>846.0</v>
      </c>
      <c r="U518" s="2">
        <v>0.0</v>
      </c>
      <c r="V518" s="2">
        <v>0.0</v>
      </c>
      <c r="W518" s="2">
        <v>846.0</v>
      </c>
    </row>
    <row r="519" ht="15.0" customHeight="1">
      <c r="A519" s="2">
        <v>2025.0</v>
      </c>
      <c r="B519" s="2" t="s">
        <v>23</v>
      </c>
      <c r="C519" s="2">
        <v>8.0</v>
      </c>
      <c r="D519" s="2" t="s">
        <v>62</v>
      </c>
      <c r="E519" s="2" t="s">
        <v>63</v>
      </c>
      <c r="F519" s="2" t="s">
        <v>26</v>
      </c>
      <c r="G519" s="2" t="s">
        <v>37</v>
      </c>
      <c r="H519" s="2" t="s">
        <v>35</v>
      </c>
      <c r="I519" s="2" t="s">
        <v>29</v>
      </c>
      <c r="J519" s="2">
        <v>820.0</v>
      </c>
      <c r="K519" s="2">
        <v>416.0</v>
      </c>
      <c r="L519" s="2">
        <v>168.0</v>
      </c>
      <c r="M519" s="2">
        <v>156.0</v>
      </c>
      <c r="N519" s="2">
        <v>115.0</v>
      </c>
      <c r="O519" s="2">
        <v>312.0</v>
      </c>
      <c r="P519" s="2">
        <v>268.0</v>
      </c>
      <c r="Q519" s="2">
        <v>0.0</v>
      </c>
      <c r="R519" s="2">
        <v>6712.0</v>
      </c>
      <c r="S519" s="2">
        <v>3608.0</v>
      </c>
      <c r="T519" s="2">
        <v>3104.0</v>
      </c>
      <c r="U519" s="2">
        <v>3608.0</v>
      </c>
      <c r="V519" s="2">
        <v>0.0</v>
      </c>
      <c r="W519" s="2">
        <v>3104.0</v>
      </c>
    </row>
    <row r="520" ht="15.0" customHeight="1">
      <c r="A520" s="2">
        <v>2025.0</v>
      </c>
      <c r="B520" s="2" t="s">
        <v>23</v>
      </c>
      <c r="C520" s="2">
        <v>8.0</v>
      </c>
      <c r="D520" s="2" t="s">
        <v>62</v>
      </c>
      <c r="E520" s="2" t="s">
        <v>63</v>
      </c>
      <c r="F520" s="2" t="s">
        <v>26</v>
      </c>
      <c r="G520" s="2" t="s">
        <v>37</v>
      </c>
      <c r="H520" s="2" t="s">
        <v>35</v>
      </c>
      <c r="I520" s="2" t="s">
        <v>30</v>
      </c>
      <c r="J520" s="2">
        <v>296.0</v>
      </c>
      <c r="K520" s="2">
        <v>103.0</v>
      </c>
      <c r="L520" s="2">
        <v>44.0</v>
      </c>
      <c r="M520" s="2">
        <v>40.0</v>
      </c>
      <c r="N520" s="2">
        <v>32.0</v>
      </c>
      <c r="O520" s="2">
        <v>93.0</v>
      </c>
      <c r="P520" s="2">
        <v>78.0</v>
      </c>
      <c r="Q520" s="2">
        <v>0.0</v>
      </c>
      <c r="R520" s="2">
        <v>2052.0</v>
      </c>
      <c r="S520" s="2">
        <v>1128.0</v>
      </c>
      <c r="T520" s="2">
        <v>923.0</v>
      </c>
      <c r="U520" s="2">
        <v>1128.0</v>
      </c>
      <c r="V520" s="2">
        <v>0.0</v>
      </c>
      <c r="W520" s="2">
        <v>923.0</v>
      </c>
    </row>
    <row r="521" ht="15.0" customHeight="1">
      <c r="A521" s="2">
        <v>2025.0</v>
      </c>
      <c r="B521" s="2" t="s">
        <v>23</v>
      </c>
      <c r="C521" s="2">
        <v>8.0</v>
      </c>
      <c r="D521" s="2" t="s">
        <v>62</v>
      </c>
      <c r="E521" s="2" t="s">
        <v>63</v>
      </c>
      <c r="F521" s="2" t="s">
        <v>26</v>
      </c>
      <c r="G521" s="2" t="s">
        <v>37</v>
      </c>
      <c r="H521" s="2" t="s">
        <v>35</v>
      </c>
      <c r="I521" s="2" t="s">
        <v>31</v>
      </c>
      <c r="J521" s="2">
        <v>27.0</v>
      </c>
      <c r="K521" s="2">
        <v>15.0</v>
      </c>
      <c r="L521" s="2">
        <v>7.0</v>
      </c>
      <c r="M521" s="2">
        <v>6.0</v>
      </c>
      <c r="N521" s="2">
        <v>6.0</v>
      </c>
      <c r="O521" s="2">
        <v>14.0</v>
      </c>
      <c r="P521" s="2">
        <v>9.0</v>
      </c>
      <c r="Q521" s="2">
        <v>0.0</v>
      </c>
      <c r="R521" s="2">
        <v>173.0</v>
      </c>
      <c r="S521" s="2">
        <v>0.0</v>
      </c>
      <c r="T521" s="2">
        <v>173.0</v>
      </c>
      <c r="U521" s="2">
        <v>0.0</v>
      </c>
      <c r="V521" s="2">
        <v>0.0</v>
      </c>
      <c r="W521" s="2">
        <v>173.0</v>
      </c>
    </row>
    <row r="522" ht="15.0" customHeight="1">
      <c r="A522" s="2">
        <v>2025.0</v>
      </c>
      <c r="B522" s="2" t="s">
        <v>23</v>
      </c>
      <c r="C522" s="2">
        <v>8.0</v>
      </c>
      <c r="D522" s="2" t="s">
        <v>62</v>
      </c>
      <c r="E522" s="2" t="s">
        <v>63</v>
      </c>
      <c r="F522" s="2" t="s">
        <v>26</v>
      </c>
      <c r="G522" s="2" t="s">
        <v>38</v>
      </c>
      <c r="H522" s="2" t="s">
        <v>35</v>
      </c>
      <c r="I522" s="2" t="s">
        <v>29</v>
      </c>
      <c r="J522" s="2">
        <v>4159.0</v>
      </c>
      <c r="K522" s="2">
        <v>2332.0</v>
      </c>
      <c r="L522" s="2">
        <v>1260.0</v>
      </c>
      <c r="M522" s="2">
        <v>1204.0</v>
      </c>
      <c r="N522" s="2">
        <v>855.0</v>
      </c>
      <c r="O522" s="2">
        <v>1310.0</v>
      </c>
      <c r="P522" s="2">
        <v>954.0</v>
      </c>
      <c r="Q522" s="2">
        <v>110.0</v>
      </c>
      <c r="R522" s="2">
        <v>14247.0</v>
      </c>
      <c r="S522" s="2">
        <v>8399.0</v>
      </c>
      <c r="T522" s="2">
        <v>5848.0</v>
      </c>
      <c r="U522" s="2">
        <v>8378.0</v>
      </c>
      <c r="V522" s="2">
        <v>20.0</v>
      </c>
      <c r="W522" s="2">
        <v>5868.0</v>
      </c>
    </row>
    <row r="523" ht="15.0" customHeight="1">
      <c r="A523" s="2">
        <v>2025.0</v>
      </c>
      <c r="B523" s="2" t="s">
        <v>23</v>
      </c>
      <c r="C523" s="2">
        <v>8.0</v>
      </c>
      <c r="D523" s="2" t="s">
        <v>62</v>
      </c>
      <c r="E523" s="2" t="s">
        <v>63</v>
      </c>
      <c r="F523" s="2" t="s">
        <v>26</v>
      </c>
      <c r="G523" s="2" t="s">
        <v>38</v>
      </c>
      <c r="H523" s="2" t="s">
        <v>35</v>
      </c>
      <c r="I523" s="2" t="s">
        <v>30</v>
      </c>
      <c r="J523" s="2">
        <v>3287.0</v>
      </c>
      <c r="K523" s="2">
        <v>1265.0</v>
      </c>
      <c r="L523" s="2">
        <v>821.0</v>
      </c>
      <c r="M523" s="2">
        <v>781.0</v>
      </c>
      <c r="N523" s="2">
        <v>529.0</v>
      </c>
      <c r="O523" s="2">
        <v>758.0</v>
      </c>
      <c r="P523" s="2">
        <v>513.0</v>
      </c>
      <c r="Q523" s="2">
        <v>45.0</v>
      </c>
      <c r="R523" s="2">
        <v>7806.0</v>
      </c>
      <c r="S523" s="2">
        <v>7139.0</v>
      </c>
      <c r="T523" s="2">
        <v>667.0</v>
      </c>
      <c r="U523" s="2">
        <v>7139.0</v>
      </c>
      <c r="V523" s="2">
        <v>0.0</v>
      </c>
      <c r="W523" s="2">
        <v>667.0</v>
      </c>
    </row>
    <row r="524" ht="15.0" customHeight="1">
      <c r="A524" s="2">
        <v>2025.0</v>
      </c>
      <c r="B524" s="2" t="s">
        <v>23</v>
      </c>
      <c r="C524" s="2">
        <v>8.0</v>
      </c>
      <c r="D524" s="2" t="s">
        <v>62</v>
      </c>
      <c r="E524" s="2" t="s">
        <v>63</v>
      </c>
      <c r="F524" s="2" t="s">
        <v>26</v>
      </c>
      <c r="G524" s="2" t="s">
        <v>38</v>
      </c>
      <c r="H524" s="2" t="s">
        <v>35</v>
      </c>
      <c r="I524" s="2" t="s">
        <v>31</v>
      </c>
      <c r="J524" s="2">
        <v>890.0</v>
      </c>
      <c r="K524" s="2">
        <v>471.0</v>
      </c>
      <c r="L524" s="2">
        <v>296.0</v>
      </c>
      <c r="M524" s="2">
        <v>267.0</v>
      </c>
      <c r="N524" s="2">
        <v>191.0</v>
      </c>
      <c r="O524" s="2">
        <v>304.0</v>
      </c>
      <c r="P524" s="2">
        <v>223.0</v>
      </c>
      <c r="Q524" s="2">
        <v>34.0</v>
      </c>
      <c r="R524" s="2">
        <v>3403.0</v>
      </c>
      <c r="S524" s="2">
        <v>10.0</v>
      </c>
      <c r="T524" s="2">
        <v>3393.0</v>
      </c>
      <c r="U524" s="2">
        <v>10.0</v>
      </c>
      <c r="V524" s="2">
        <v>0.0</v>
      </c>
      <c r="W524" s="2">
        <v>3393.0</v>
      </c>
    </row>
    <row r="525" ht="15.0" customHeight="1">
      <c r="A525" s="2">
        <v>2025.0</v>
      </c>
      <c r="B525" s="2" t="s">
        <v>23</v>
      </c>
      <c r="C525" s="2">
        <v>8.0</v>
      </c>
      <c r="D525" s="2" t="s">
        <v>62</v>
      </c>
      <c r="E525" s="2" t="s">
        <v>63</v>
      </c>
      <c r="F525" s="2" t="s">
        <v>26</v>
      </c>
      <c r="G525" s="2" t="s">
        <v>39</v>
      </c>
      <c r="H525" s="2" t="s">
        <v>40</v>
      </c>
      <c r="I525" s="2" t="s">
        <v>29</v>
      </c>
      <c r="J525" s="2">
        <v>8511.0</v>
      </c>
      <c r="K525" s="2">
        <v>5455.0</v>
      </c>
      <c r="L525" s="2">
        <v>3102.0</v>
      </c>
      <c r="M525" s="2">
        <v>2920.0</v>
      </c>
      <c r="N525" s="2">
        <v>1152.0</v>
      </c>
      <c r="O525" s="2">
        <v>1358.0</v>
      </c>
      <c r="P525" s="2">
        <v>805.0</v>
      </c>
      <c r="Q525" s="2">
        <v>0.0</v>
      </c>
      <c r="R525" s="2">
        <v>12264.0</v>
      </c>
      <c r="S525" s="2">
        <v>7020.0</v>
      </c>
      <c r="T525" s="2">
        <v>5244.0</v>
      </c>
      <c r="U525" s="2">
        <v>6891.0</v>
      </c>
      <c r="V525" s="2">
        <v>129.0</v>
      </c>
      <c r="W525" s="2">
        <v>5373.0</v>
      </c>
    </row>
    <row r="526" ht="15.0" customHeight="1">
      <c r="A526" s="2">
        <v>2025.0</v>
      </c>
      <c r="B526" s="2" t="s">
        <v>23</v>
      </c>
      <c r="C526" s="2">
        <v>8.0</v>
      </c>
      <c r="D526" s="2" t="s">
        <v>62</v>
      </c>
      <c r="E526" s="2" t="s">
        <v>63</v>
      </c>
      <c r="F526" s="2" t="s">
        <v>26</v>
      </c>
      <c r="G526" s="2" t="s">
        <v>39</v>
      </c>
      <c r="H526" s="2" t="s">
        <v>40</v>
      </c>
      <c r="I526" s="2" t="s">
        <v>30</v>
      </c>
      <c r="J526" s="2">
        <v>2424.0</v>
      </c>
      <c r="K526" s="2">
        <v>1103.0</v>
      </c>
      <c r="L526" s="2">
        <v>505.0</v>
      </c>
      <c r="M526" s="2">
        <v>468.0</v>
      </c>
      <c r="N526" s="2">
        <v>179.0</v>
      </c>
      <c r="O526" s="2">
        <v>216.0</v>
      </c>
      <c r="P526" s="2">
        <v>135.0</v>
      </c>
      <c r="Q526" s="2">
        <v>0.0</v>
      </c>
      <c r="R526" s="2">
        <v>1952.0</v>
      </c>
      <c r="S526" s="2">
        <v>1474.0</v>
      </c>
      <c r="T526" s="2">
        <v>479.0</v>
      </c>
      <c r="U526" s="2">
        <v>1474.0</v>
      </c>
      <c r="V526" s="2">
        <v>0.0</v>
      </c>
      <c r="W526" s="2">
        <v>479.0</v>
      </c>
    </row>
    <row r="527" ht="15.0" customHeight="1">
      <c r="A527" s="2">
        <v>2025.0</v>
      </c>
      <c r="B527" s="2" t="s">
        <v>23</v>
      </c>
      <c r="C527" s="2">
        <v>8.0</v>
      </c>
      <c r="D527" s="2" t="s">
        <v>62</v>
      </c>
      <c r="E527" s="2" t="s">
        <v>63</v>
      </c>
      <c r="F527" s="2" t="s">
        <v>26</v>
      </c>
      <c r="G527" s="2" t="s">
        <v>39</v>
      </c>
      <c r="H527" s="2" t="s">
        <v>40</v>
      </c>
      <c r="I527" s="2" t="s">
        <v>31</v>
      </c>
      <c r="J527" s="2">
        <v>2984.0</v>
      </c>
      <c r="K527" s="2">
        <v>1872.0</v>
      </c>
      <c r="L527" s="2">
        <v>834.0</v>
      </c>
      <c r="M527" s="2">
        <v>720.0</v>
      </c>
      <c r="N527" s="2">
        <v>278.0</v>
      </c>
      <c r="O527" s="2">
        <v>332.0</v>
      </c>
      <c r="P527" s="2">
        <v>196.0</v>
      </c>
      <c r="Q527" s="2">
        <v>0.0</v>
      </c>
      <c r="R527" s="2">
        <v>2910.0</v>
      </c>
      <c r="S527" s="2">
        <v>17.0</v>
      </c>
      <c r="T527" s="2">
        <v>2894.0</v>
      </c>
      <c r="U527" s="2">
        <v>17.0</v>
      </c>
      <c r="V527" s="2">
        <v>0.0</v>
      </c>
      <c r="W527" s="2">
        <v>2894.0</v>
      </c>
    </row>
    <row r="528" ht="15.0" customHeight="1">
      <c r="A528" s="2">
        <v>2025.0</v>
      </c>
      <c r="B528" s="2" t="s">
        <v>23</v>
      </c>
      <c r="C528" s="2">
        <v>8.0</v>
      </c>
      <c r="D528" s="2" t="s">
        <v>62</v>
      </c>
      <c r="E528" s="2" t="s">
        <v>63</v>
      </c>
      <c r="F528" s="2" t="s">
        <v>26</v>
      </c>
      <c r="G528" s="2" t="s">
        <v>41</v>
      </c>
      <c r="H528" s="2" t="s">
        <v>42</v>
      </c>
      <c r="I528" s="2" t="s">
        <v>29</v>
      </c>
      <c r="J528" s="2">
        <v>15881.0</v>
      </c>
      <c r="K528" s="2">
        <v>7909.0</v>
      </c>
      <c r="L528" s="2">
        <v>4053.0</v>
      </c>
      <c r="M528" s="2">
        <v>3811.0</v>
      </c>
      <c r="N528" s="2">
        <v>1889.0</v>
      </c>
      <c r="O528" s="2">
        <v>2243.0</v>
      </c>
      <c r="P528" s="2">
        <v>1749.0</v>
      </c>
      <c r="Q528" s="2">
        <v>0.0</v>
      </c>
      <c r="R528" s="2">
        <v>14661.0</v>
      </c>
      <c r="S528" s="2">
        <v>10597.0</v>
      </c>
      <c r="T528" s="2">
        <v>4064.0</v>
      </c>
      <c r="U528" s="2">
        <v>10378.0</v>
      </c>
      <c r="V528" s="2">
        <v>219.0</v>
      </c>
      <c r="W528" s="2">
        <v>4284.0</v>
      </c>
    </row>
    <row r="529" ht="15.0" customHeight="1">
      <c r="A529" s="2">
        <v>2025.0</v>
      </c>
      <c r="B529" s="2" t="s">
        <v>23</v>
      </c>
      <c r="C529" s="2">
        <v>8.0</v>
      </c>
      <c r="D529" s="2" t="s">
        <v>62</v>
      </c>
      <c r="E529" s="2" t="s">
        <v>63</v>
      </c>
      <c r="F529" s="2" t="s">
        <v>26</v>
      </c>
      <c r="G529" s="2" t="s">
        <v>41</v>
      </c>
      <c r="H529" s="2" t="s">
        <v>42</v>
      </c>
      <c r="I529" s="2" t="s">
        <v>30</v>
      </c>
      <c r="J529" s="2">
        <v>22055.0</v>
      </c>
      <c r="K529" s="2">
        <v>9827.0</v>
      </c>
      <c r="L529" s="2">
        <v>4786.0</v>
      </c>
      <c r="M529" s="2">
        <v>4552.0</v>
      </c>
      <c r="N529" s="2">
        <v>2065.0</v>
      </c>
      <c r="O529" s="2">
        <v>2465.0</v>
      </c>
      <c r="P529" s="2">
        <v>1872.0</v>
      </c>
      <c r="Q529" s="2">
        <v>3.0</v>
      </c>
      <c r="R529" s="2">
        <v>14696.0</v>
      </c>
      <c r="S529" s="2">
        <v>14350.0</v>
      </c>
      <c r="T529" s="2">
        <v>346.0</v>
      </c>
      <c r="U529" s="2">
        <v>14350.0</v>
      </c>
      <c r="V529" s="2">
        <v>0.0</v>
      </c>
      <c r="W529" s="2">
        <v>346.0</v>
      </c>
    </row>
    <row r="530" ht="15.0" customHeight="1">
      <c r="A530" s="2">
        <v>2025.0</v>
      </c>
      <c r="B530" s="2" t="s">
        <v>23</v>
      </c>
      <c r="C530" s="2">
        <v>8.0</v>
      </c>
      <c r="D530" s="2" t="s">
        <v>62</v>
      </c>
      <c r="E530" s="2" t="s">
        <v>63</v>
      </c>
      <c r="F530" s="2" t="s">
        <v>26</v>
      </c>
      <c r="G530" s="2" t="s">
        <v>41</v>
      </c>
      <c r="H530" s="2" t="s">
        <v>42</v>
      </c>
      <c r="I530" s="2" t="s">
        <v>31</v>
      </c>
      <c r="J530" s="2">
        <v>21541.0</v>
      </c>
      <c r="K530" s="2">
        <v>10325.0</v>
      </c>
      <c r="L530" s="2">
        <v>7889.0</v>
      </c>
      <c r="M530" s="2">
        <v>7109.0</v>
      </c>
      <c r="N530" s="2">
        <v>3151.0</v>
      </c>
      <c r="O530" s="2">
        <v>3759.0</v>
      </c>
      <c r="P530" s="2">
        <v>2926.0</v>
      </c>
      <c r="Q530" s="2">
        <v>3.0</v>
      </c>
      <c r="R530" s="2">
        <v>24031.0</v>
      </c>
      <c r="S530" s="2">
        <v>396.0</v>
      </c>
      <c r="T530" s="2">
        <v>23636.0</v>
      </c>
      <c r="U530" s="2">
        <v>396.0</v>
      </c>
      <c r="V530" s="2">
        <v>0.0</v>
      </c>
      <c r="W530" s="2">
        <v>23636.0</v>
      </c>
    </row>
    <row r="531" ht="15.0" customHeight="1">
      <c r="A531" s="2">
        <v>2025.0</v>
      </c>
      <c r="B531" s="2" t="s">
        <v>23</v>
      </c>
      <c r="C531" s="2">
        <v>8.0</v>
      </c>
      <c r="D531" s="2" t="s">
        <v>62</v>
      </c>
      <c r="E531" s="2" t="s">
        <v>63</v>
      </c>
      <c r="F531" s="2" t="s">
        <v>26</v>
      </c>
      <c r="G531" s="2" t="s">
        <v>43</v>
      </c>
      <c r="H531" s="2" t="s">
        <v>42</v>
      </c>
      <c r="I531" s="2" t="s">
        <v>29</v>
      </c>
      <c r="J531" s="2">
        <v>2832.0</v>
      </c>
      <c r="K531" s="2">
        <v>1303.0</v>
      </c>
      <c r="L531" s="2">
        <v>677.0</v>
      </c>
      <c r="M531" s="2">
        <v>625.0</v>
      </c>
      <c r="N531" s="2">
        <v>241.0</v>
      </c>
      <c r="O531" s="2">
        <v>482.0</v>
      </c>
      <c r="P531" s="2">
        <v>334.0</v>
      </c>
      <c r="Q531" s="2">
        <v>0.0</v>
      </c>
      <c r="R531" s="2">
        <v>11629.0</v>
      </c>
      <c r="S531" s="2">
        <v>7920.0</v>
      </c>
      <c r="T531" s="2">
        <v>3709.0</v>
      </c>
      <c r="U531" s="2">
        <v>7085.0</v>
      </c>
      <c r="V531" s="2">
        <v>835.0</v>
      </c>
      <c r="W531" s="2">
        <v>4544.0</v>
      </c>
    </row>
    <row r="532" ht="15.0" customHeight="1">
      <c r="A532" s="2">
        <v>2025.0</v>
      </c>
      <c r="B532" s="2" t="s">
        <v>23</v>
      </c>
      <c r="C532" s="2">
        <v>8.0</v>
      </c>
      <c r="D532" s="2" t="s">
        <v>62</v>
      </c>
      <c r="E532" s="2" t="s">
        <v>63</v>
      </c>
      <c r="F532" s="2" t="s">
        <v>26</v>
      </c>
      <c r="G532" s="2" t="s">
        <v>43</v>
      </c>
      <c r="H532" s="2" t="s">
        <v>42</v>
      </c>
      <c r="I532" s="2" t="s">
        <v>30</v>
      </c>
      <c r="J532" s="2">
        <v>18411.0</v>
      </c>
      <c r="K532" s="2">
        <v>354.0</v>
      </c>
      <c r="L532" s="2">
        <v>153.0</v>
      </c>
      <c r="M532" s="2">
        <v>142.0</v>
      </c>
      <c r="N532" s="2">
        <v>30.0</v>
      </c>
      <c r="O532" s="2">
        <v>74.0</v>
      </c>
      <c r="P532" s="2">
        <v>56.0</v>
      </c>
      <c r="Q532" s="2">
        <v>1.0</v>
      </c>
      <c r="R532" s="2">
        <v>1791.0</v>
      </c>
      <c r="S532" s="2">
        <v>5192.0</v>
      </c>
      <c r="T532" s="2">
        <v>-3401.0</v>
      </c>
      <c r="U532" s="2">
        <v>5192.0</v>
      </c>
      <c r="V532" s="2">
        <v>0.0</v>
      </c>
      <c r="W532" s="2">
        <v>-3401.0</v>
      </c>
    </row>
    <row r="533" ht="15.0" customHeight="1">
      <c r="A533" s="2">
        <v>2025.0</v>
      </c>
      <c r="B533" s="2" t="s">
        <v>23</v>
      </c>
      <c r="C533" s="2">
        <v>8.0</v>
      </c>
      <c r="D533" s="2" t="s">
        <v>62</v>
      </c>
      <c r="E533" s="2" t="s">
        <v>63</v>
      </c>
      <c r="F533" s="2" t="s">
        <v>26</v>
      </c>
      <c r="G533" s="2" t="s">
        <v>43</v>
      </c>
      <c r="H533" s="2" t="s">
        <v>42</v>
      </c>
      <c r="I533" s="2" t="s">
        <v>31</v>
      </c>
      <c r="J533" s="2">
        <v>453.0</v>
      </c>
      <c r="K533" s="2">
        <v>239.0</v>
      </c>
      <c r="L533" s="2">
        <v>137.0</v>
      </c>
      <c r="M533" s="2">
        <v>97.0</v>
      </c>
      <c r="N533" s="2">
        <v>43.0</v>
      </c>
      <c r="O533" s="2">
        <v>96.0</v>
      </c>
      <c r="P533" s="2">
        <v>79.0</v>
      </c>
      <c r="Q533" s="2">
        <v>0.0</v>
      </c>
      <c r="R533" s="2">
        <v>2801.0</v>
      </c>
      <c r="S533" s="2">
        <v>14.0</v>
      </c>
      <c r="T533" s="2">
        <v>2787.0</v>
      </c>
      <c r="U533" s="2">
        <v>14.0</v>
      </c>
      <c r="V533" s="2">
        <v>0.0</v>
      </c>
      <c r="W533" s="2">
        <v>2787.0</v>
      </c>
    </row>
    <row r="534" ht="15.0" customHeight="1">
      <c r="A534" s="2">
        <v>2025.0</v>
      </c>
      <c r="B534" s="2" t="s">
        <v>23</v>
      </c>
      <c r="C534" s="2">
        <v>8.0</v>
      </c>
      <c r="D534" s="2" t="s">
        <v>62</v>
      </c>
      <c r="E534" s="2" t="s">
        <v>63</v>
      </c>
      <c r="F534" s="2" t="s">
        <v>26</v>
      </c>
      <c r="G534" s="2" t="s">
        <v>44</v>
      </c>
      <c r="H534" s="2" t="s">
        <v>45</v>
      </c>
      <c r="I534" s="2" t="s">
        <v>29</v>
      </c>
      <c r="J534" s="2">
        <v>5988.0</v>
      </c>
      <c r="K534" s="2">
        <v>3206.0</v>
      </c>
      <c r="L534" s="2">
        <v>1101.0</v>
      </c>
      <c r="M534" s="2">
        <v>1044.0</v>
      </c>
      <c r="N534" s="2">
        <v>915.0</v>
      </c>
      <c r="O534" s="2">
        <v>1619.0</v>
      </c>
      <c r="P534" s="2">
        <v>1265.0</v>
      </c>
      <c r="Q534" s="2">
        <v>643.0</v>
      </c>
      <c r="R534" s="2">
        <v>45339.0</v>
      </c>
      <c r="S534" s="2">
        <v>35686.0</v>
      </c>
      <c r="T534" s="2">
        <v>9653.0</v>
      </c>
      <c r="U534" s="2">
        <v>34638.0</v>
      </c>
      <c r="V534" s="2">
        <v>1048.0</v>
      </c>
      <c r="W534" s="2">
        <v>10701.0</v>
      </c>
    </row>
    <row r="535" ht="15.0" customHeight="1">
      <c r="A535" s="2">
        <v>2025.0</v>
      </c>
      <c r="B535" s="2" t="s">
        <v>23</v>
      </c>
      <c r="C535" s="2">
        <v>8.0</v>
      </c>
      <c r="D535" s="2" t="s">
        <v>62</v>
      </c>
      <c r="E535" s="2" t="s">
        <v>63</v>
      </c>
      <c r="F535" s="2" t="s">
        <v>26</v>
      </c>
      <c r="G535" s="2" t="s">
        <v>44</v>
      </c>
      <c r="H535" s="2" t="s">
        <v>45</v>
      </c>
      <c r="I535" s="2" t="s">
        <v>30</v>
      </c>
      <c r="J535" s="2">
        <v>5048.0</v>
      </c>
      <c r="K535" s="2">
        <v>968.0</v>
      </c>
      <c r="L535" s="2">
        <v>316.0</v>
      </c>
      <c r="M535" s="2">
        <v>302.0</v>
      </c>
      <c r="N535" s="2">
        <v>230.0</v>
      </c>
      <c r="O535" s="2">
        <v>395.0</v>
      </c>
      <c r="P535" s="2">
        <v>314.0</v>
      </c>
      <c r="Q535" s="2">
        <v>137.0</v>
      </c>
      <c r="R535" s="2">
        <v>10771.0</v>
      </c>
      <c r="S535" s="2">
        <v>5856.0</v>
      </c>
      <c r="T535" s="2">
        <v>4915.0</v>
      </c>
      <c r="U535" s="2">
        <v>5856.0</v>
      </c>
      <c r="V535" s="2">
        <v>0.0</v>
      </c>
      <c r="W535" s="2">
        <v>4915.0</v>
      </c>
    </row>
    <row r="536" ht="15.0" customHeight="1">
      <c r="A536" s="2">
        <v>2025.0</v>
      </c>
      <c r="B536" s="2" t="s">
        <v>23</v>
      </c>
      <c r="C536" s="2">
        <v>8.0</v>
      </c>
      <c r="D536" s="2" t="s">
        <v>62</v>
      </c>
      <c r="E536" s="2" t="s">
        <v>63</v>
      </c>
      <c r="F536" s="2" t="s">
        <v>26</v>
      </c>
      <c r="G536" s="2" t="s">
        <v>44</v>
      </c>
      <c r="H536" s="2" t="s">
        <v>45</v>
      </c>
      <c r="I536" s="2" t="s">
        <v>31</v>
      </c>
      <c r="J536" s="2">
        <v>3305.0</v>
      </c>
      <c r="K536" s="2">
        <v>532.0</v>
      </c>
      <c r="L536" s="2">
        <v>185.0</v>
      </c>
      <c r="M536" s="2">
        <v>154.0</v>
      </c>
      <c r="N536" s="2">
        <v>129.0</v>
      </c>
      <c r="O536" s="2">
        <v>249.0</v>
      </c>
      <c r="P536" s="2">
        <v>208.0</v>
      </c>
      <c r="Q536" s="2">
        <v>103.0</v>
      </c>
      <c r="R536" s="2">
        <v>8162.0</v>
      </c>
      <c r="S536" s="2">
        <v>137.0</v>
      </c>
      <c r="T536" s="2">
        <v>8025.0</v>
      </c>
      <c r="U536" s="2">
        <v>137.0</v>
      </c>
      <c r="V536" s="2">
        <v>0.0</v>
      </c>
      <c r="W536" s="2">
        <v>8025.0</v>
      </c>
    </row>
    <row r="537" ht="15.0" customHeight="1">
      <c r="A537" s="2">
        <v>2025.0</v>
      </c>
      <c r="B537" s="2" t="s">
        <v>23</v>
      </c>
      <c r="C537" s="2">
        <v>8.0</v>
      </c>
      <c r="D537" s="2" t="s">
        <v>62</v>
      </c>
      <c r="E537" s="2" t="s">
        <v>63</v>
      </c>
      <c r="F537" s="2" t="s">
        <v>26</v>
      </c>
      <c r="G537" s="2" t="s">
        <v>46</v>
      </c>
      <c r="H537" s="2" t="s">
        <v>47</v>
      </c>
      <c r="I537" s="2" t="s">
        <v>29</v>
      </c>
      <c r="J537" s="2">
        <v>4783.0</v>
      </c>
      <c r="K537" s="2">
        <v>2215.0</v>
      </c>
      <c r="L537" s="2">
        <v>856.0</v>
      </c>
      <c r="M537" s="2">
        <v>814.0</v>
      </c>
      <c r="N537" s="2">
        <v>749.0</v>
      </c>
      <c r="O537" s="2">
        <v>1385.0</v>
      </c>
      <c r="P537" s="2">
        <v>745.0</v>
      </c>
      <c r="Q537" s="2">
        <v>94.0</v>
      </c>
      <c r="R537" s="2">
        <v>31846.0</v>
      </c>
      <c r="S537" s="2">
        <v>23278.0</v>
      </c>
      <c r="T537" s="2">
        <v>8567.0</v>
      </c>
      <c r="U537" s="2">
        <v>23074.0</v>
      </c>
      <c r="V537" s="2">
        <v>204.0</v>
      </c>
      <c r="W537" s="2">
        <v>8772.0</v>
      </c>
    </row>
    <row r="538" ht="15.0" customHeight="1">
      <c r="A538" s="2">
        <v>2025.0</v>
      </c>
      <c r="B538" s="2" t="s">
        <v>23</v>
      </c>
      <c r="C538" s="2">
        <v>8.0</v>
      </c>
      <c r="D538" s="2" t="s">
        <v>62</v>
      </c>
      <c r="E538" s="2" t="s">
        <v>63</v>
      </c>
      <c r="F538" s="2" t="s">
        <v>26</v>
      </c>
      <c r="G538" s="2" t="s">
        <v>46</v>
      </c>
      <c r="H538" s="2" t="s">
        <v>47</v>
      </c>
      <c r="I538" s="2" t="s">
        <v>30</v>
      </c>
      <c r="J538" s="2">
        <v>2790.0</v>
      </c>
      <c r="K538" s="2">
        <v>272.0</v>
      </c>
      <c r="L538" s="2">
        <v>95.0</v>
      </c>
      <c r="M538" s="2">
        <v>83.0</v>
      </c>
      <c r="N538" s="2">
        <v>74.0</v>
      </c>
      <c r="O538" s="2">
        <v>148.0</v>
      </c>
      <c r="P538" s="2">
        <v>83.0</v>
      </c>
      <c r="Q538" s="2">
        <v>11.0</v>
      </c>
      <c r="R538" s="2">
        <v>3786.0</v>
      </c>
      <c r="S538" s="2">
        <v>2035.0</v>
      </c>
      <c r="T538" s="2">
        <v>1750.0</v>
      </c>
      <c r="U538" s="2">
        <v>2035.0</v>
      </c>
      <c r="V538" s="2">
        <v>0.0</v>
      </c>
      <c r="W538" s="2">
        <v>1750.0</v>
      </c>
    </row>
    <row r="539" ht="15.0" customHeight="1">
      <c r="A539" s="2">
        <v>2025.0</v>
      </c>
      <c r="B539" s="2" t="s">
        <v>23</v>
      </c>
      <c r="C539" s="2">
        <v>8.0</v>
      </c>
      <c r="D539" s="2" t="s">
        <v>62</v>
      </c>
      <c r="E539" s="2" t="s">
        <v>63</v>
      </c>
      <c r="F539" s="2" t="s">
        <v>26</v>
      </c>
      <c r="G539" s="2" t="s">
        <v>46</v>
      </c>
      <c r="H539" s="2" t="s">
        <v>47</v>
      </c>
      <c r="I539" s="2" t="s">
        <v>31</v>
      </c>
      <c r="J539" s="2">
        <v>1635.0</v>
      </c>
      <c r="K539" s="2">
        <v>804.0</v>
      </c>
      <c r="L539" s="2">
        <v>182.0</v>
      </c>
      <c r="M539" s="2">
        <v>122.0</v>
      </c>
      <c r="N539" s="2">
        <v>115.0</v>
      </c>
      <c r="O539" s="2">
        <v>212.0</v>
      </c>
      <c r="P539" s="2">
        <v>123.0</v>
      </c>
      <c r="Q539" s="2">
        <v>21.0</v>
      </c>
      <c r="R539" s="2">
        <v>5339.0</v>
      </c>
      <c r="S539" s="2">
        <v>325.0</v>
      </c>
      <c r="T539" s="2">
        <v>5014.0</v>
      </c>
      <c r="U539" s="2">
        <v>325.0</v>
      </c>
      <c r="V539" s="2">
        <v>0.0</v>
      </c>
      <c r="W539" s="2">
        <v>5014.0</v>
      </c>
    </row>
    <row r="540" ht="15.0" customHeight="1">
      <c r="A540" s="2">
        <v>2025.0</v>
      </c>
      <c r="B540" s="2" t="s">
        <v>23</v>
      </c>
      <c r="C540" s="2">
        <v>8.0</v>
      </c>
      <c r="D540" s="2" t="s">
        <v>62</v>
      </c>
      <c r="E540" s="2" t="s">
        <v>63</v>
      </c>
      <c r="F540" s="2" t="s">
        <v>48</v>
      </c>
      <c r="G540" s="2" t="s">
        <v>27</v>
      </c>
      <c r="H540" s="2" t="s">
        <v>28</v>
      </c>
      <c r="I540" s="2" t="s">
        <v>29</v>
      </c>
      <c r="J540" s="2">
        <v>4348.0</v>
      </c>
      <c r="K540" s="2">
        <v>2146.0</v>
      </c>
      <c r="L540" s="2">
        <v>845.0</v>
      </c>
      <c r="M540" s="2">
        <v>796.0</v>
      </c>
      <c r="N540" s="2">
        <v>478.0</v>
      </c>
      <c r="O540" s="2">
        <v>762.0</v>
      </c>
      <c r="P540" s="2">
        <v>578.0</v>
      </c>
      <c r="Q540" s="2">
        <v>0.0</v>
      </c>
      <c r="R540" s="2">
        <v>18656.0</v>
      </c>
      <c r="S540" s="2">
        <v>12452.0</v>
      </c>
      <c r="T540" s="2">
        <v>6204.0</v>
      </c>
      <c r="U540" s="2">
        <v>11966.0</v>
      </c>
      <c r="V540" s="2">
        <v>487.0</v>
      </c>
      <c r="W540" s="2">
        <v>6691.0</v>
      </c>
    </row>
    <row r="541" ht="15.0" customHeight="1">
      <c r="A541" s="2">
        <v>2025.0</v>
      </c>
      <c r="B541" s="2" t="s">
        <v>23</v>
      </c>
      <c r="C541" s="2">
        <v>8.0</v>
      </c>
      <c r="D541" s="2" t="s">
        <v>62</v>
      </c>
      <c r="E541" s="2" t="s">
        <v>63</v>
      </c>
      <c r="F541" s="2" t="s">
        <v>48</v>
      </c>
      <c r="G541" s="2" t="s">
        <v>27</v>
      </c>
      <c r="H541" s="2" t="s">
        <v>28</v>
      </c>
      <c r="I541" s="2" t="s">
        <v>30</v>
      </c>
      <c r="J541" s="2">
        <v>4057.0</v>
      </c>
      <c r="K541" s="2">
        <v>1406.0</v>
      </c>
      <c r="L541" s="2">
        <v>670.0</v>
      </c>
      <c r="M541" s="2">
        <v>604.0</v>
      </c>
      <c r="N541" s="2">
        <v>368.0</v>
      </c>
      <c r="O541" s="2">
        <v>563.0</v>
      </c>
      <c r="P541" s="2">
        <v>439.0</v>
      </c>
      <c r="Q541" s="2">
        <v>0.0</v>
      </c>
      <c r="R541" s="2">
        <v>14151.0</v>
      </c>
      <c r="S541" s="2">
        <v>8550.0</v>
      </c>
      <c r="T541" s="2">
        <v>5601.0</v>
      </c>
      <c r="U541" s="2">
        <v>8550.0</v>
      </c>
      <c r="V541" s="2">
        <v>0.0</v>
      </c>
      <c r="W541" s="2">
        <v>5601.0</v>
      </c>
    </row>
    <row r="542" ht="15.0" customHeight="1">
      <c r="A542" s="2">
        <v>2025.0</v>
      </c>
      <c r="B542" s="2" t="s">
        <v>23</v>
      </c>
      <c r="C542" s="2">
        <v>8.0</v>
      </c>
      <c r="D542" s="2" t="s">
        <v>62</v>
      </c>
      <c r="E542" s="2" t="s">
        <v>63</v>
      </c>
      <c r="F542" s="2" t="s">
        <v>48</v>
      </c>
      <c r="G542" s="2" t="s">
        <v>27</v>
      </c>
      <c r="H542" s="2" t="s">
        <v>28</v>
      </c>
      <c r="I542" s="2" t="s">
        <v>31</v>
      </c>
      <c r="J542" s="2">
        <v>310.0</v>
      </c>
      <c r="K542" s="2">
        <v>166.0</v>
      </c>
      <c r="L542" s="2">
        <v>189.0</v>
      </c>
      <c r="M542" s="2">
        <v>173.0</v>
      </c>
      <c r="N542" s="2">
        <v>110.0</v>
      </c>
      <c r="O542" s="2">
        <v>180.0</v>
      </c>
      <c r="P542" s="2">
        <v>137.0</v>
      </c>
      <c r="Q542" s="2">
        <v>0.0</v>
      </c>
      <c r="R542" s="2">
        <v>4434.0</v>
      </c>
      <c r="S542" s="2">
        <v>688.0</v>
      </c>
      <c r="T542" s="2">
        <v>3746.0</v>
      </c>
      <c r="U542" s="2">
        <v>688.0</v>
      </c>
      <c r="V542" s="2">
        <v>0.0</v>
      </c>
      <c r="W542" s="2">
        <v>3746.0</v>
      </c>
    </row>
    <row r="543" ht="15.0" customHeight="1">
      <c r="A543" s="2">
        <v>2025.0</v>
      </c>
      <c r="B543" s="2" t="s">
        <v>23</v>
      </c>
      <c r="C543" s="2">
        <v>8.0</v>
      </c>
      <c r="D543" s="2" t="s">
        <v>62</v>
      </c>
      <c r="E543" s="2" t="s">
        <v>63</v>
      </c>
      <c r="F543" s="2" t="s">
        <v>48</v>
      </c>
      <c r="G543" s="2" t="s">
        <v>32</v>
      </c>
      <c r="H543" s="2" t="s">
        <v>28</v>
      </c>
      <c r="I543" s="2" t="s">
        <v>29</v>
      </c>
      <c r="J543" s="2">
        <v>369.0</v>
      </c>
      <c r="K543" s="2">
        <v>207.0</v>
      </c>
      <c r="L543" s="2">
        <v>107.0</v>
      </c>
      <c r="M543" s="2">
        <v>102.0</v>
      </c>
      <c r="N543" s="2">
        <v>30.0</v>
      </c>
      <c r="O543" s="2">
        <v>38.0</v>
      </c>
      <c r="P543" s="2">
        <v>27.0</v>
      </c>
      <c r="Q543" s="2">
        <v>0.0</v>
      </c>
      <c r="R543" s="2">
        <v>421.0</v>
      </c>
      <c r="S543" s="2">
        <v>307.0</v>
      </c>
      <c r="T543" s="2">
        <v>115.0</v>
      </c>
      <c r="U543" s="2">
        <v>307.0</v>
      </c>
      <c r="V543" s="2">
        <v>0.0</v>
      </c>
      <c r="W543" s="2">
        <v>115.0</v>
      </c>
    </row>
    <row r="544" ht="15.0" customHeight="1">
      <c r="A544" s="2">
        <v>2025.0</v>
      </c>
      <c r="B544" s="2" t="s">
        <v>23</v>
      </c>
      <c r="C544" s="2">
        <v>8.0</v>
      </c>
      <c r="D544" s="2" t="s">
        <v>62</v>
      </c>
      <c r="E544" s="2" t="s">
        <v>63</v>
      </c>
      <c r="F544" s="2" t="s">
        <v>48</v>
      </c>
      <c r="G544" s="2" t="s">
        <v>32</v>
      </c>
      <c r="H544" s="2" t="s">
        <v>28</v>
      </c>
      <c r="I544" s="2" t="s">
        <v>30</v>
      </c>
      <c r="J544" s="2">
        <v>2307.0</v>
      </c>
      <c r="K544" s="2">
        <v>730.0</v>
      </c>
      <c r="L544" s="2">
        <v>478.0</v>
      </c>
      <c r="M544" s="2">
        <v>456.0</v>
      </c>
      <c r="N544" s="2">
        <v>116.0</v>
      </c>
      <c r="O544" s="2">
        <v>143.0</v>
      </c>
      <c r="P544" s="2">
        <v>113.0</v>
      </c>
      <c r="Q544" s="2">
        <v>0.0</v>
      </c>
      <c r="R544" s="2">
        <v>1651.0</v>
      </c>
      <c r="S544" s="2">
        <v>2511.0</v>
      </c>
      <c r="T544" s="2">
        <v>-860.0</v>
      </c>
      <c r="U544" s="2">
        <v>2511.0</v>
      </c>
      <c r="V544" s="2">
        <v>0.0</v>
      </c>
      <c r="W544" s="2">
        <v>-860.0</v>
      </c>
    </row>
    <row r="545" ht="15.0" customHeight="1">
      <c r="A545" s="2">
        <v>2025.0</v>
      </c>
      <c r="B545" s="2" t="s">
        <v>23</v>
      </c>
      <c r="C545" s="2">
        <v>8.0</v>
      </c>
      <c r="D545" s="2" t="s">
        <v>62</v>
      </c>
      <c r="E545" s="2" t="s">
        <v>63</v>
      </c>
      <c r="F545" s="2" t="s">
        <v>48</v>
      </c>
      <c r="G545" s="2" t="s">
        <v>32</v>
      </c>
      <c r="H545" s="2" t="s">
        <v>28</v>
      </c>
      <c r="I545" s="2" t="s">
        <v>31</v>
      </c>
      <c r="J545" s="2">
        <v>890.0</v>
      </c>
      <c r="K545" s="2">
        <v>486.0</v>
      </c>
      <c r="L545" s="2">
        <v>292.0</v>
      </c>
      <c r="M545" s="2">
        <v>269.0</v>
      </c>
      <c r="N545" s="2">
        <v>52.0</v>
      </c>
      <c r="O545" s="2">
        <v>67.0</v>
      </c>
      <c r="P545" s="2">
        <v>47.0</v>
      </c>
      <c r="Q545" s="2">
        <v>0.0</v>
      </c>
      <c r="R545" s="2">
        <v>690.0</v>
      </c>
      <c r="S545" s="2">
        <v>5.0</v>
      </c>
      <c r="T545" s="2">
        <v>685.0</v>
      </c>
      <c r="U545" s="2">
        <v>5.0</v>
      </c>
      <c r="V545" s="2">
        <v>0.0</v>
      </c>
      <c r="W545" s="2">
        <v>685.0</v>
      </c>
    </row>
    <row r="546" ht="15.0" customHeight="1">
      <c r="A546" s="2">
        <v>2025.0</v>
      </c>
      <c r="B546" s="2" t="s">
        <v>23</v>
      </c>
      <c r="C546" s="2">
        <v>8.0</v>
      </c>
      <c r="D546" s="2" t="s">
        <v>62</v>
      </c>
      <c r="E546" s="2" t="s">
        <v>63</v>
      </c>
      <c r="F546" s="2" t="s">
        <v>48</v>
      </c>
      <c r="G546" s="2" t="s">
        <v>33</v>
      </c>
      <c r="H546" s="2" t="s">
        <v>28</v>
      </c>
      <c r="I546" s="2" t="s">
        <v>29</v>
      </c>
      <c r="J546" s="2">
        <v>2321.0</v>
      </c>
      <c r="K546" s="2">
        <v>1304.0</v>
      </c>
      <c r="L546" s="2">
        <v>560.0</v>
      </c>
      <c r="M546" s="2">
        <v>522.0</v>
      </c>
      <c r="N546" s="2">
        <v>260.0</v>
      </c>
      <c r="O546" s="2">
        <v>326.0</v>
      </c>
      <c r="P546" s="2">
        <v>304.0</v>
      </c>
      <c r="Q546" s="2">
        <v>161.0</v>
      </c>
      <c r="R546" s="2">
        <v>8953.0</v>
      </c>
      <c r="S546" s="2">
        <v>7833.0</v>
      </c>
      <c r="T546" s="2">
        <v>1120.0</v>
      </c>
      <c r="U546" s="2">
        <v>7829.0</v>
      </c>
      <c r="V546" s="2">
        <v>4.0</v>
      </c>
      <c r="W546" s="2">
        <v>1124.0</v>
      </c>
    </row>
    <row r="547" ht="15.0" customHeight="1">
      <c r="A547" s="2">
        <v>2025.0</v>
      </c>
      <c r="B547" s="2" t="s">
        <v>23</v>
      </c>
      <c r="C547" s="2">
        <v>8.0</v>
      </c>
      <c r="D547" s="2" t="s">
        <v>62</v>
      </c>
      <c r="E547" s="2" t="s">
        <v>63</v>
      </c>
      <c r="F547" s="2" t="s">
        <v>48</v>
      </c>
      <c r="G547" s="2" t="s">
        <v>33</v>
      </c>
      <c r="H547" s="2" t="s">
        <v>28</v>
      </c>
      <c r="I547" s="2" t="s">
        <v>30</v>
      </c>
      <c r="J547" s="2">
        <v>2408.0</v>
      </c>
      <c r="K547" s="2">
        <v>1092.0</v>
      </c>
      <c r="L547" s="2">
        <v>521.0</v>
      </c>
      <c r="M547" s="2">
        <v>490.0</v>
      </c>
      <c r="N547" s="2">
        <v>170.0</v>
      </c>
      <c r="O547" s="2">
        <v>209.0</v>
      </c>
      <c r="P547" s="2">
        <v>196.0</v>
      </c>
      <c r="Q547" s="2">
        <v>139.0</v>
      </c>
      <c r="R547" s="2">
        <v>5501.0</v>
      </c>
      <c r="S547" s="2">
        <v>3893.0</v>
      </c>
      <c r="T547" s="2">
        <v>1608.0</v>
      </c>
      <c r="U547" s="2">
        <v>3893.0</v>
      </c>
      <c r="V547" s="2">
        <v>0.0</v>
      </c>
      <c r="W547" s="2">
        <v>1608.0</v>
      </c>
    </row>
    <row r="548" ht="15.0" customHeight="1">
      <c r="A548" s="2">
        <v>2025.0</v>
      </c>
      <c r="B548" s="2" t="s">
        <v>23</v>
      </c>
      <c r="C548" s="2">
        <v>8.0</v>
      </c>
      <c r="D548" s="2" t="s">
        <v>62</v>
      </c>
      <c r="E548" s="2" t="s">
        <v>63</v>
      </c>
      <c r="F548" s="2" t="s">
        <v>48</v>
      </c>
      <c r="G548" s="2" t="s">
        <v>33</v>
      </c>
      <c r="H548" s="2" t="s">
        <v>28</v>
      </c>
      <c r="I548" s="2" t="s">
        <v>31</v>
      </c>
      <c r="J548" s="2">
        <v>242.0</v>
      </c>
      <c r="K548" s="2">
        <v>52.0</v>
      </c>
      <c r="L548" s="2">
        <v>23.0</v>
      </c>
      <c r="M548" s="2">
        <v>20.0</v>
      </c>
      <c r="N548" s="2">
        <v>9.0</v>
      </c>
      <c r="O548" s="2">
        <v>11.0</v>
      </c>
      <c r="P548" s="2">
        <v>10.0</v>
      </c>
      <c r="Q548" s="2">
        <v>8.0</v>
      </c>
      <c r="R548" s="2">
        <v>279.0</v>
      </c>
      <c r="S548" s="2">
        <v>9.0</v>
      </c>
      <c r="T548" s="2">
        <v>270.0</v>
      </c>
      <c r="U548" s="2">
        <v>9.0</v>
      </c>
      <c r="V548" s="2">
        <v>0.0</v>
      </c>
      <c r="W548" s="2">
        <v>270.0</v>
      </c>
    </row>
    <row r="549" ht="15.0" customHeight="1">
      <c r="A549" s="2">
        <v>2025.0</v>
      </c>
      <c r="B549" s="2" t="s">
        <v>23</v>
      </c>
      <c r="C549" s="2">
        <v>8.0</v>
      </c>
      <c r="D549" s="2" t="s">
        <v>62</v>
      </c>
      <c r="E549" s="2" t="s">
        <v>63</v>
      </c>
      <c r="F549" s="2" t="s">
        <v>48</v>
      </c>
      <c r="G549" s="2" t="s">
        <v>34</v>
      </c>
      <c r="H549" s="2" t="s">
        <v>35</v>
      </c>
      <c r="I549" s="2" t="s">
        <v>29</v>
      </c>
      <c r="J549" s="2">
        <v>16846.0</v>
      </c>
      <c r="K549" s="2">
        <v>10530.0</v>
      </c>
      <c r="L549" s="2">
        <v>4705.0</v>
      </c>
      <c r="M549" s="2">
        <v>4465.0</v>
      </c>
      <c r="N549" s="2">
        <v>2125.0</v>
      </c>
      <c r="O549" s="2">
        <v>2936.0</v>
      </c>
      <c r="P549" s="2">
        <v>2334.0</v>
      </c>
      <c r="Q549" s="2">
        <v>0.0</v>
      </c>
      <c r="R549" s="2">
        <v>32102.0</v>
      </c>
      <c r="S549" s="2">
        <v>21142.0</v>
      </c>
      <c r="T549" s="2">
        <v>10960.0</v>
      </c>
      <c r="U549" s="2">
        <v>19426.0</v>
      </c>
      <c r="V549" s="2">
        <v>1716.0</v>
      </c>
      <c r="W549" s="2">
        <v>12676.0</v>
      </c>
    </row>
    <row r="550" ht="15.0" customHeight="1">
      <c r="A550" s="2">
        <v>2025.0</v>
      </c>
      <c r="B550" s="2" t="s">
        <v>23</v>
      </c>
      <c r="C550" s="2">
        <v>8.0</v>
      </c>
      <c r="D550" s="2" t="s">
        <v>62</v>
      </c>
      <c r="E550" s="2" t="s">
        <v>63</v>
      </c>
      <c r="F550" s="2" t="s">
        <v>48</v>
      </c>
      <c r="G550" s="2" t="s">
        <v>34</v>
      </c>
      <c r="H550" s="2" t="s">
        <v>35</v>
      </c>
      <c r="I550" s="2" t="s">
        <v>30</v>
      </c>
      <c r="J550" s="2">
        <v>21574.0</v>
      </c>
      <c r="K550" s="2">
        <v>10534.0</v>
      </c>
      <c r="L550" s="2">
        <v>4382.0</v>
      </c>
      <c r="M550" s="2">
        <v>4127.0</v>
      </c>
      <c r="N550" s="2">
        <v>1730.0</v>
      </c>
      <c r="O550" s="2">
        <v>2350.0</v>
      </c>
      <c r="P550" s="2">
        <v>1837.0</v>
      </c>
      <c r="Q550" s="2">
        <v>0.0</v>
      </c>
      <c r="R550" s="2">
        <v>26190.0</v>
      </c>
      <c r="S550" s="2">
        <v>17039.0</v>
      </c>
      <c r="T550" s="2">
        <v>9153.0</v>
      </c>
      <c r="U550" s="2">
        <v>17039.0</v>
      </c>
      <c r="V550" s="2">
        <v>0.0</v>
      </c>
      <c r="W550" s="2">
        <v>9153.0</v>
      </c>
    </row>
    <row r="551" ht="15.0" customHeight="1">
      <c r="A551" s="2">
        <v>2025.0</v>
      </c>
      <c r="B551" s="2" t="s">
        <v>23</v>
      </c>
      <c r="C551" s="2">
        <v>8.0</v>
      </c>
      <c r="D551" s="2" t="s">
        <v>62</v>
      </c>
      <c r="E551" s="2" t="s">
        <v>63</v>
      </c>
      <c r="F551" s="2" t="s">
        <v>48</v>
      </c>
      <c r="G551" s="2" t="s">
        <v>34</v>
      </c>
      <c r="H551" s="2" t="s">
        <v>35</v>
      </c>
      <c r="I551" s="2" t="s">
        <v>31</v>
      </c>
      <c r="J551" s="2">
        <v>1190.0</v>
      </c>
      <c r="K551" s="2">
        <v>554.0</v>
      </c>
      <c r="L551" s="2">
        <v>430.0</v>
      </c>
      <c r="M551" s="2">
        <v>358.0</v>
      </c>
      <c r="N551" s="2">
        <v>150.0</v>
      </c>
      <c r="O551" s="2">
        <v>222.0</v>
      </c>
      <c r="P551" s="2">
        <v>184.0</v>
      </c>
      <c r="Q551" s="2">
        <v>0.0</v>
      </c>
      <c r="R551" s="2">
        <v>2873.0</v>
      </c>
      <c r="S551" s="2">
        <v>0.0</v>
      </c>
      <c r="T551" s="2">
        <v>2873.0</v>
      </c>
      <c r="U551" s="2">
        <v>0.0</v>
      </c>
      <c r="V551" s="2">
        <v>0.0</v>
      </c>
      <c r="W551" s="2">
        <v>2873.0</v>
      </c>
    </row>
    <row r="552" ht="15.0" customHeight="1">
      <c r="A552" s="2">
        <v>2025.0</v>
      </c>
      <c r="B552" s="2" t="s">
        <v>23</v>
      </c>
      <c r="C552" s="2">
        <v>8.0</v>
      </c>
      <c r="D552" s="2" t="s">
        <v>62</v>
      </c>
      <c r="E552" s="2" t="s">
        <v>63</v>
      </c>
      <c r="F552" s="2" t="s">
        <v>48</v>
      </c>
      <c r="G552" s="2" t="s">
        <v>36</v>
      </c>
      <c r="H552" s="2" t="s">
        <v>35</v>
      </c>
      <c r="I552" s="2" t="s">
        <v>29</v>
      </c>
      <c r="J552" s="2">
        <v>11429.0</v>
      </c>
      <c r="K552" s="2">
        <v>6694.0</v>
      </c>
      <c r="L552" s="2">
        <v>3372.0</v>
      </c>
      <c r="M552" s="2">
        <v>3219.0</v>
      </c>
      <c r="N552" s="2">
        <v>2281.0</v>
      </c>
      <c r="O552" s="2">
        <v>3779.0</v>
      </c>
      <c r="P552" s="2">
        <v>3179.0</v>
      </c>
      <c r="Q552" s="2">
        <v>0.0</v>
      </c>
      <c r="R552" s="2">
        <v>42697.0</v>
      </c>
      <c r="S552" s="2">
        <v>21890.0</v>
      </c>
      <c r="T552" s="2">
        <v>20807.0</v>
      </c>
      <c r="U552" s="2">
        <v>20329.0</v>
      </c>
      <c r="V552" s="2">
        <v>1561.0</v>
      </c>
      <c r="W552" s="2">
        <v>22368.0</v>
      </c>
    </row>
    <row r="553" ht="15.0" customHeight="1">
      <c r="A553" s="2">
        <v>2025.0</v>
      </c>
      <c r="B553" s="2" t="s">
        <v>23</v>
      </c>
      <c r="C553" s="2">
        <v>8.0</v>
      </c>
      <c r="D553" s="2" t="s">
        <v>62</v>
      </c>
      <c r="E553" s="2" t="s">
        <v>63</v>
      </c>
      <c r="F553" s="2" t="s">
        <v>48</v>
      </c>
      <c r="G553" s="2" t="s">
        <v>36</v>
      </c>
      <c r="H553" s="2" t="s">
        <v>35</v>
      </c>
      <c r="I553" s="2" t="s">
        <v>30</v>
      </c>
      <c r="J553" s="2">
        <v>9172.0</v>
      </c>
      <c r="K553" s="2">
        <v>2379.0</v>
      </c>
      <c r="L553" s="2">
        <v>1598.0</v>
      </c>
      <c r="M553" s="2">
        <v>1544.0</v>
      </c>
      <c r="N553" s="2">
        <v>1029.0</v>
      </c>
      <c r="O553" s="2">
        <v>1719.0</v>
      </c>
      <c r="P553" s="2">
        <v>1450.0</v>
      </c>
      <c r="Q553" s="2">
        <v>0.0</v>
      </c>
      <c r="R553" s="2">
        <v>18893.0</v>
      </c>
      <c r="S553" s="2">
        <v>15328.0</v>
      </c>
      <c r="T553" s="2">
        <v>3566.0</v>
      </c>
      <c r="U553" s="2">
        <v>15328.0</v>
      </c>
      <c r="V553" s="2">
        <v>0.0</v>
      </c>
      <c r="W553" s="2">
        <v>3566.0</v>
      </c>
    </row>
    <row r="554" ht="15.0" customHeight="1">
      <c r="A554" s="2">
        <v>2025.0</v>
      </c>
      <c r="B554" s="2" t="s">
        <v>23</v>
      </c>
      <c r="C554" s="2">
        <v>8.0</v>
      </c>
      <c r="D554" s="2" t="s">
        <v>62</v>
      </c>
      <c r="E554" s="2" t="s">
        <v>63</v>
      </c>
      <c r="F554" s="2" t="s">
        <v>48</v>
      </c>
      <c r="G554" s="2" t="s">
        <v>36</v>
      </c>
      <c r="H554" s="2" t="s">
        <v>35</v>
      </c>
      <c r="I554" s="2" t="s">
        <v>31</v>
      </c>
      <c r="J554" s="2">
        <v>1417.0</v>
      </c>
      <c r="K554" s="2">
        <v>625.0</v>
      </c>
      <c r="L554" s="2">
        <v>443.0</v>
      </c>
      <c r="M554" s="2">
        <v>419.0</v>
      </c>
      <c r="N554" s="2">
        <v>309.0</v>
      </c>
      <c r="O554" s="2">
        <v>510.0</v>
      </c>
      <c r="P554" s="2">
        <v>442.0</v>
      </c>
      <c r="Q554" s="2">
        <v>0.0</v>
      </c>
      <c r="R554" s="2">
        <v>5829.0</v>
      </c>
      <c r="S554" s="2">
        <v>0.0</v>
      </c>
      <c r="T554" s="2">
        <v>5829.0</v>
      </c>
      <c r="U554" s="2">
        <v>0.0</v>
      </c>
      <c r="V554" s="2">
        <v>0.0</v>
      </c>
      <c r="W554" s="2">
        <v>5829.0</v>
      </c>
    </row>
    <row r="555" ht="15.0" customHeight="1">
      <c r="A555" s="2">
        <v>2025.0</v>
      </c>
      <c r="B555" s="2" t="s">
        <v>23</v>
      </c>
      <c r="C555" s="2">
        <v>8.0</v>
      </c>
      <c r="D555" s="2" t="s">
        <v>62</v>
      </c>
      <c r="E555" s="2" t="s">
        <v>63</v>
      </c>
      <c r="F555" s="2" t="s">
        <v>48</v>
      </c>
      <c r="G555" s="2" t="s">
        <v>37</v>
      </c>
      <c r="H555" s="2" t="s">
        <v>35</v>
      </c>
      <c r="I555" s="2" t="s">
        <v>29</v>
      </c>
      <c r="J555" s="2">
        <v>3550.0</v>
      </c>
      <c r="K555" s="2">
        <v>1803.0</v>
      </c>
      <c r="L555" s="2">
        <v>750.0</v>
      </c>
      <c r="M555" s="2">
        <v>707.0</v>
      </c>
      <c r="N555" s="2">
        <v>561.0</v>
      </c>
      <c r="O555" s="2">
        <v>1378.0</v>
      </c>
      <c r="P555" s="2">
        <v>1087.0</v>
      </c>
      <c r="Q555" s="2">
        <v>68.0</v>
      </c>
      <c r="R555" s="2">
        <v>32347.0</v>
      </c>
      <c r="S555" s="2">
        <v>13643.0</v>
      </c>
      <c r="T555" s="2">
        <v>18703.0</v>
      </c>
      <c r="U555" s="2">
        <v>13643.0</v>
      </c>
      <c r="V555" s="2">
        <v>0.0</v>
      </c>
      <c r="W555" s="2">
        <v>18703.0</v>
      </c>
    </row>
    <row r="556" ht="15.0" customHeight="1">
      <c r="A556" s="2">
        <v>2025.0</v>
      </c>
      <c r="B556" s="2" t="s">
        <v>23</v>
      </c>
      <c r="C556" s="2">
        <v>8.0</v>
      </c>
      <c r="D556" s="2" t="s">
        <v>62</v>
      </c>
      <c r="E556" s="2" t="s">
        <v>63</v>
      </c>
      <c r="F556" s="2" t="s">
        <v>48</v>
      </c>
      <c r="G556" s="2" t="s">
        <v>37</v>
      </c>
      <c r="H556" s="2" t="s">
        <v>35</v>
      </c>
      <c r="I556" s="2" t="s">
        <v>30</v>
      </c>
      <c r="J556" s="2">
        <v>2041.0</v>
      </c>
      <c r="K556" s="2">
        <v>721.0</v>
      </c>
      <c r="L556" s="2">
        <v>231.0</v>
      </c>
      <c r="M556" s="2">
        <v>216.0</v>
      </c>
      <c r="N556" s="2">
        <v>171.0</v>
      </c>
      <c r="O556" s="2">
        <v>410.0</v>
      </c>
      <c r="P556" s="2">
        <v>320.0</v>
      </c>
      <c r="Q556" s="2">
        <v>25.0</v>
      </c>
      <c r="R556" s="2">
        <v>9366.0</v>
      </c>
      <c r="S556" s="2">
        <v>5238.0</v>
      </c>
      <c r="T556" s="2">
        <v>4127.0</v>
      </c>
      <c r="U556" s="2">
        <v>5238.0</v>
      </c>
      <c r="V556" s="2">
        <v>0.0</v>
      </c>
      <c r="W556" s="2">
        <v>4127.0</v>
      </c>
    </row>
    <row r="557" ht="15.0" customHeight="1">
      <c r="A557" s="2">
        <v>2025.0</v>
      </c>
      <c r="B557" s="2" t="s">
        <v>23</v>
      </c>
      <c r="C557" s="2">
        <v>8.0</v>
      </c>
      <c r="D557" s="2" t="s">
        <v>62</v>
      </c>
      <c r="E557" s="2" t="s">
        <v>63</v>
      </c>
      <c r="F557" s="2" t="s">
        <v>48</v>
      </c>
      <c r="G557" s="2" t="s">
        <v>37</v>
      </c>
      <c r="H557" s="2" t="s">
        <v>35</v>
      </c>
      <c r="I557" s="2" t="s">
        <v>31</v>
      </c>
      <c r="J557" s="2">
        <v>156.0</v>
      </c>
      <c r="K557" s="2">
        <v>58.0</v>
      </c>
      <c r="L557" s="2">
        <v>38.0</v>
      </c>
      <c r="M557" s="2">
        <v>36.0</v>
      </c>
      <c r="N557" s="2">
        <v>27.0</v>
      </c>
      <c r="O557" s="2">
        <v>75.0</v>
      </c>
      <c r="P557" s="2">
        <v>52.0</v>
      </c>
      <c r="Q557" s="2">
        <v>1.0</v>
      </c>
      <c r="R557" s="2">
        <v>1441.0</v>
      </c>
      <c r="S557" s="2">
        <v>0.0</v>
      </c>
      <c r="T557" s="2">
        <v>1441.0</v>
      </c>
      <c r="U557" s="2">
        <v>0.0</v>
      </c>
      <c r="V557" s="2">
        <v>0.0</v>
      </c>
      <c r="W557" s="2">
        <v>1441.0</v>
      </c>
    </row>
    <row r="558" ht="15.0" customHeight="1">
      <c r="A558" s="2">
        <v>2025.0</v>
      </c>
      <c r="B558" s="2" t="s">
        <v>23</v>
      </c>
      <c r="C558" s="2">
        <v>8.0</v>
      </c>
      <c r="D558" s="2" t="s">
        <v>62</v>
      </c>
      <c r="E558" s="2" t="s">
        <v>63</v>
      </c>
      <c r="F558" s="2" t="s">
        <v>48</v>
      </c>
      <c r="G558" s="2" t="s">
        <v>38</v>
      </c>
      <c r="H558" s="2" t="s">
        <v>35</v>
      </c>
      <c r="I558" s="2" t="s">
        <v>29</v>
      </c>
      <c r="J558" s="2">
        <v>1377.0</v>
      </c>
      <c r="K558" s="2">
        <v>780.0</v>
      </c>
      <c r="L558" s="2">
        <v>410.0</v>
      </c>
      <c r="M558" s="2">
        <v>394.0</v>
      </c>
      <c r="N558" s="2">
        <v>200.0</v>
      </c>
      <c r="O558" s="2">
        <v>273.0</v>
      </c>
      <c r="P558" s="2">
        <v>210.0</v>
      </c>
      <c r="Q558" s="2">
        <v>59.0</v>
      </c>
      <c r="R558" s="2">
        <v>3985.0</v>
      </c>
      <c r="S558" s="2">
        <v>1412.0</v>
      </c>
      <c r="T558" s="2">
        <v>2573.0</v>
      </c>
      <c r="U558" s="2">
        <v>1314.0</v>
      </c>
      <c r="V558" s="2">
        <v>98.0</v>
      </c>
      <c r="W558" s="2">
        <v>2671.0</v>
      </c>
    </row>
    <row r="559" ht="15.0" customHeight="1">
      <c r="A559" s="2">
        <v>2025.0</v>
      </c>
      <c r="B559" s="2" t="s">
        <v>23</v>
      </c>
      <c r="C559" s="2">
        <v>8.0</v>
      </c>
      <c r="D559" s="2" t="s">
        <v>62</v>
      </c>
      <c r="E559" s="2" t="s">
        <v>63</v>
      </c>
      <c r="F559" s="2" t="s">
        <v>48</v>
      </c>
      <c r="G559" s="2" t="s">
        <v>38</v>
      </c>
      <c r="H559" s="2" t="s">
        <v>35</v>
      </c>
      <c r="I559" s="2" t="s">
        <v>30</v>
      </c>
      <c r="J559" s="2">
        <v>11718.0</v>
      </c>
      <c r="K559" s="2">
        <v>3828.0</v>
      </c>
      <c r="L559" s="2">
        <v>2817.0</v>
      </c>
      <c r="M559" s="2">
        <v>2703.0</v>
      </c>
      <c r="N559" s="2">
        <v>1261.0</v>
      </c>
      <c r="O559" s="2">
        <v>1590.0</v>
      </c>
      <c r="P559" s="2">
        <v>1194.0</v>
      </c>
      <c r="Q559" s="2">
        <v>319.0</v>
      </c>
      <c r="R559" s="2">
        <v>21846.0</v>
      </c>
      <c r="S559" s="2">
        <v>23094.0</v>
      </c>
      <c r="T559" s="2">
        <v>-1247.0</v>
      </c>
      <c r="U559" s="2">
        <v>23094.0</v>
      </c>
      <c r="V559" s="2">
        <v>0.0</v>
      </c>
      <c r="W559" s="2">
        <v>-1247.0</v>
      </c>
    </row>
    <row r="560" ht="15.0" customHeight="1">
      <c r="A560" s="2">
        <v>2025.0</v>
      </c>
      <c r="B560" s="2" t="s">
        <v>23</v>
      </c>
      <c r="C560" s="2">
        <v>8.0</v>
      </c>
      <c r="D560" s="2" t="s">
        <v>62</v>
      </c>
      <c r="E560" s="2" t="s">
        <v>63</v>
      </c>
      <c r="F560" s="2" t="s">
        <v>48</v>
      </c>
      <c r="G560" s="2" t="s">
        <v>38</v>
      </c>
      <c r="H560" s="2" t="s">
        <v>35</v>
      </c>
      <c r="I560" s="2" t="s">
        <v>31</v>
      </c>
      <c r="J560" s="2">
        <v>1010.0</v>
      </c>
      <c r="K560" s="2">
        <v>634.0</v>
      </c>
      <c r="L560" s="2">
        <v>492.0</v>
      </c>
      <c r="M560" s="2">
        <v>463.0</v>
      </c>
      <c r="N560" s="2">
        <v>227.0</v>
      </c>
      <c r="O560" s="2">
        <v>287.0</v>
      </c>
      <c r="P560" s="2">
        <v>211.0</v>
      </c>
      <c r="Q560" s="2">
        <v>68.0</v>
      </c>
      <c r="R560" s="2">
        <v>3837.0</v>
      </c>
      <c r="S560" s="2">
        <v>0.0</v>
      </c>
      <c r="T560" s="2">
        <v>3837.0</v>
      </c>
      <c r="U560" s="2">
        <v>0.0</v>
      </c>
      <c r="V560" s="2">
        <v>0.0</v>
      </c>
      <c r="W560" s="2">
        <v>3837.0</v>
      </c>
    </row>
    <row r="561" ht="15.0" customHeight="1">
      <c r="A561" s="2">
        <v>2025.0</v>
      </c>
      <c r="B561" s="2" t="s">
        <v>23</v>
      </c>
      <c r="C561" s="2">
        <v>8.0</v>
      </c>
      <c r="D561" s="2" t="s">
        <v>62</v>
      </c>
      <c r="E561" s="2" t="s">
        <v>63</v>
      </c>
      <c r="F561" s="2" t="s">
        <v>48</v>
      </c>
      <c r="G561" s="2" t="s">
        <v>39</v>
      </c>
      <c r="H561" s="2" t="s">
        <v>40</v>
      </c>
      <c r="I561" s="2" t="s">
        <v>29</v>
      </c>
      <c r="J561" s="2">
        <v>20635.0</v>
      </c>
      <c r="K561" s="2">
        <v>12207.0</v>
      </c>
      <c r="L561" s="2">
        <v>5202.0</v>
      </c>
      <c r="M561" s="2">
        <v>4902.0</v>
      </c>
      <c r="N561" s="2">
        <v>3812.0</v>
      </c>
      <c r="O561" s="2">
        <v>5023.0</v>
      </c>
      <c r="P561" s="2">
        <v>4679.0</v>
      </c>
      <c r="Q561" s="2">
        <v>3332.0</v>
      </c>
      <c r="R561" s="2">
        <v>32351.0</v>
      </c>
      <c r="S561" s="2">
        <v>22798.0</v>
      </c>
      <c r="T561" s="2">
        <v>9553.0</v>
      </c>
      <c r="U561" s="2">
        <v>22418.0</v>
      </c>
      <c r="V561" s="2">
        <v>380.0</v>
      </c>
      <c r="W561" s="2">
        <v>9933.0</v>
      </c>
    </row>
    <row r="562" ht="15.0" customHeight="1">
      <c r="A562" s="2">
        <v>2025.0</v>
      </c>
      <c r="B562" s="2" t="s">
        <v>23</v>
      </c>
      <c r="C562" s="2">
        <v>8.0</v>
      </c>
      <c r="D562" s="2" t="s">
        <v>62</v>
      </c>
      <c r="E562" s="2" t="s">
        <v>63</v>
      </c>
      <c r="F562" s="2" t="s">
        <v>48</v>
      </c>
      <c r="G562" s="2" t="s">
        <v>39</v>
      </c>
      <c r="H562" s="2" t="s">
        <v>40</v>
      </c>
      <c r="I562" s="2" t="s">
        <v>30</v>
      </c>
      <c r="J562" s="2">
        <v>10836.0</v>
      </c>
      <c r="K562" s="2">
        <v>4398.0</v>
      </c>
      <c r="L562" s="2">
        <v>2203.0</v>
      </c>
      <c r="M562" s="2">
        <v>2092.0</v>
      </c>
      <c r="N562" s="2">
        <v>1780.0</v>
      </c>
      <c r="O562" s="2">
        <v>2374.0</v>
      </c>
      <c r="P562" s="2">
        <v>2176.0</v>
      </c>
      <c r="Q562" s="2">
        <v>1486.0</v>
      </c>
      <c r="R562" s="2">
        <v>17534.0</v>
      </c>
      <c r="S562" s="2">
        <v>16290.0</v>
      </c>
      <c r="T562" s="2">
        <v>1244.0</v>
      </c>
      <c r="U562" s="2">
        <v>16290.0</v>
      </c>
      <c r="V562" s="2">
        <v>0.0</v>
      </c>
      <c r="W562" s="2">
        <v>1244.0</v>
      </c>
    </row>
    <row r="563" ht="15.0" customHeight="1">
      <c r="A563" s="2">
        <v>2025.0</v>
      </c>
      <c r="B563" s="2" t="s">
        <v>23</v>
      </c>
      <c r="C563" s="2">
        <v>8.0</v>
      </c>
      <c r="D563" s="2" t="s">
        <v>62</v>
      </c>
      <c r="E563" s="2" t="s">
        <v>63</v>
      </c>
      <c r="F563" s="2" t="s">
        <v>48</v>
      </c>
      <c r="G563" s="2" t="s">
        <v>39</v>
      </c>
      <c r="H563" s="2" t="s">
        <v>40</v>
      </c>
      <c r="I563" s="2" t="s">
        <v>31</v>
      </c>
      <c r="J563" s="2">
        <v>2599.0</v>
      </c>
      <c r="K563" s="2">
        <v>1590.0</v>
      </c>
      <c r="L563" s="2">
        <v>880.0</v>
      </c>
      <c r="M563" s="2">
        <v>764.0</v>
      </c>
      <c r="N563" s="2">
        <v>657.0</v>
      </c>
      <c r="O563" s="2">
        <v>935.0</v>
      </c>
      <c r="P563" s="2">
        <v>863.0</v>
      </c>
      <c r="Q563" s="2">
        <v>586.0</v>
      </c>
      <c r="R563" s="2">
        <v>7186.0</v>
      </c>
      <c r="S563" s="2">
        <v>0.0</v>
      </c>
      <c r="T563" s="2">
        <v>7186.0</v>
      </c>
      <c r="U563" s="2">
        <v>0.0</v>
      </c>
      <c r="V563" s="2">
        <v>0.0</v>
      </c>
      <c r="W563" s="2">
        <v>7186.0</v>
      </c>
    </row>
    <row r="564" ht="15.0" customHeight="1">
      <c r="A564" s="2">
        <v>2025.0</v>
      </c>
      <c r="B564" s="2" t="s">
        <v>23</v>
      </c>
      <c r="C564" s="2">
        <v>8.0</v>
      </c>
      <c r="D564" s="2" t="s">
        <v>62</v>
      </c>
      <c r="E564" s="2" t="s">
        <v>63</v>
      </c>
      <c r="F564" s="2" t="s">
        <v>48</v>
      </c>
      <c r="G564" s="2" t="s">
        <v>41</v>
      </c>
      <c r="H564" s="2" t="s">
        <v>42</v>
      </c>
      <c r="I564" s="2" t="s">
        <v>29</v>
      </c>
      <c r="J564" s="2">
        <v>17669.0</v>
      </c>
      <c r="K564" s="2">
        <v>10764.0</v>
      </c>
      <c r="L564" s="2">
        <v>2099.0</v>
      </c>
      <c r="M564" s="2">
        <v>1895.0</v>
      </c>
      <c r="N564" s="2">
        <v>994.0</v>
      </c>
      <c r="O564" s="2">
        <v>1393.0</v>
      </c>
      <c r="P564" s="2">
        <v>969.0</v>
      </c>
      <c r="Q564" s="2">
        <v>0.0</v>
      </c>
      <c r="R564" s="2">
        <v>9035.0</v>
      </c>
      <c r="S564" s="2">
        <v>19994.0</v>
      </c>
      <c r="T564" s="2">
        <v>-10959.0</v>
      </c>
      <c r="U564" s="2">
        <v>12838.0</v>
      </c>
      <c r="V564" s="2">
        <v>7156.0</v>
      </c>
      <c r="W564" s="2">
        <v>-3803.0</v>
      </c>
    </row>
    <row r="565" ht="15.0" customHeight="1">
      <c r="A565" s="2">
        <v>2025.0</v>
      </c>
      <c r="B565" s="2" t="s">
        <v>23</v>
      </c>
      <c r="C565" s="2">
        <v>8.0</v>
      </c>
      <c r="D565" s="2" t="s">
        <v>62</v>
      </c>
      <c r="E565" s="2" t="s">
        <v>63</v>
      </c>
      <c r="F565" s="2" t="s">
        <v>48</v>
      </c>
      <c r="G565" s="2" t="s">
        <v>41</v>
      </c>
      <c r="H565" s="2" t="s">
        <v>42</v>
      </c>
      <c r="I565" s="2" t="s">
        <v>30</v>
      </c>
      <c r="J565" s="2">
        <v>11838.0</v>
      </c>
      <c r="K565" s="2">
        <v>6136.0</v>
      </c>
      <c r="L565" s="2">
        <v>3319.0</v>
      </c>
      <c r="M565" s="2">
        <v>3124.0</v>
      </c>
      <c r="N565" s="2">
        <v>1496.0</v>
      </c>
      <c r="O565" s="2">
        <v>1998.0</v>
      </c>
      <c r="P565" s="2">
        <v>1484.0</v>
      </c>
      <c r="Q565" s="2">
        <v>0.0</v>
      </c>
      <c r="R565" s="2">
        <v>13951.0</v>
      </c>
      <c r="S565" s="2">
        <v>10041.0</v>
      </c>
      <c r="T565" s="2">
        <v>3910.0</v>
      </c>
      <c r="U565" s="2">
        <v>10041.0</v>
      </c>
      <c r="V565" s="2">
        <v>0.0</v>
      </c>
      <c r="W565" s="2">
        <v>3910.0</v>
      </c>
    </row>
    <row r="566" ht="15.0" customHeight="1">
      <c r="A566" s="2">
        <v>2025.0</v>
      </c>
      <c r="B566" s="2" t="s">
        <v>23</v>
      </c>
      <c r="C566" s="2">
        <v>8.0</v>
      </c>
      <c r="D566" s="2" t="s">
        <v>62</v>
      </c>
      <c r="E566" s="2" t="s">
        <v>63</v>
      </c>
      <c r="F566" s="2" t="s">
        <v>48</v>
      </c>
      <c r="G566" s="2" t="s">
        <v>41</v>
      </c>
      <c r="H566" s="2" t="s">
        <v>42</v>
      </c>
      <c r="I566" s="2" t="s">
        <v>31</v>
      </c>
      <c r="J566" s="2">
        <v>10640.0</v>
      </c>
      <c r="K566" s="2">
        <v>4682.0</v>
      </c>
      <c r="L566" s="2">
        <v>4169.0</v>
      </c>
      <c r="M566" s="2">
        <v>3367.0</v>
      </c>
      <c r="N566" s="2">
        <v>1368.0</v>
      </c>
      <c r="O566" s="2">
        <v>1826.0</v>
      </c>
      <c r="P566" s="2">
        <v>1301.0</v>
      </c>
      <c r="Q566" s="2">
        <v>0.0</v>
      </c>
      <c r="R566" s="2">
        <v>13534.0</v>
      </c>
      <c r="S566" s="2">
        <v>36.0</v>
      </c>
      <c r="T566" s="2">
        <v>13498.0</v>
      </c>
      <c r="U566" s="2">
        <v>36.0</v>
      </c>
      <c r="V566" s="2">
        <v>0.0</v>
      </c>
      <c r="W566" s="2">
        <v>13498.0</v>
      </c>
    </row>
    <row r="567" ht="15.0" customHeight="1">
      <c r="A567" s="2">
        <v>2025.0</v>
      </c>
      <c r="B567" s="2" t="s">
        <v>23</v>
      </c>
      <c r="C567" s="2">
        <v>8.0</v>
      </c>
      <c r="D567" s="2" t="s">
        <v>62</v>
      </c>
      <c r="E567" s="2" t="s">
        <v>63</v>
      </c>
      <c r="F567" s="2" t="s">
        <v>48</v>
      </c>
      <c r="G567" s="2" t="s">
        <v>43</v>
      </c>
      <c r="H567" s="2" t="s">
        <v>42</v>
      </c>
      <c r="I567" s="2" t="s">
        <v>29</v>
      </c>
      <c r="J567" s="2">
        <v>12731.0</v>
      </c>
      <c r="K567" s="2">
        <v>6076.0</v>
      </c>
      <c r="L567" s="2">
        <v>3023.0</v>
      </c>
      <c r="M567" s="2">
        <v>2790.0</v>
      </c>
      <c r="N567" s="2">
        <v>1246.0</v>
      </c>
      <c r="O567" s="2">
        <v>2419.0</v>
      </c>
      <c r="P567" s="2">
        <v>2049.0</v>
      </c>
      <c r="Q567" s="2">
        <v>0.0</v>
      </c>
      <c r="R567" s="2">
        <v>81641.0</v>
      </c>
      <c r="S567" s="2">
        <v>51189.0</v>
      </c>
      <c r="T567" s="2">
        <v>30452.0</v>
      </c>
      <c r="U567" s="2">
        <v>50203.0</v>
      </c>
      <c r="V567" s="2">
        <v>986.0</v>
      </c>
      <c r="W567" s="2">
        <v>31438.0</v>
      </c>
    </row>
    <row r="568" ht="15.0" customHeight="1">
      <c r="A568" s="2">
        <v>2025.0</v>
      </c>
      <c r="B568" s="2" t="s">
        <v>23</v>
      </c>
      <c r="C568" s="2">
        <v>8.0</v>
      </c>
      <c r="D568" s="2" t="s">
        <v>62</v>
      </c>
      <c r="E568" s="2" t="s">
        <v>63</v>
      </c>
      <c r="F568" s="2" t="s">
        <v>48</v>
      </c>
      <c r="G568" s="2" t="s">
        <v>43</v>
      </c>
      <c r="H568" s="2" t="s">
        <v>42</v>
      </c>
      <c r="I568" s="2" t="s">
        <v>30</v>
      </c>
      <c r="J568" s="2">
        <v>6036.0</v>
      </c>
      <c r="K568" s="2">
        <v>2096.0</v>
      </c>
      <c r="L568" s="2">
        <v>1122.0</v>
      </c>
      <c r="M568" s="2">
        <v>1027.0</v>
      </c>
      <c r="N568" s="2">
        <v>410.0</v>
      </c>
      <c r="O568" s="2">
        <v>850.0</v>
      </c>
      <c r="P568" s="2">
        <v>777.0</v>
      </c>
      <c r="Q568" s="2">
        <v>0.0</v>
      </c>
      <c r="R568" s="2">
        <v>29622.0</v>
      </c>
      <c r="S568" s="2">
        <v>15480.0</v>
      </c>
      <c r="T568" s="2">
        <v>14142.0</v>
      </c>
      <c r="U568" s="2">
        <v>15480.0</v>
      </c>
      <c r="V568" s="2">
        <v>0.0</v>
      </c>
      <c r="W568" s="2">
        <v>14142.0</v>
      </c>
    </row>
    <row r="569" ht="15.0" customHeight="1">
      <c r="A569" s="2">
        <v>2025.0</v>
      </c>
      <c r="B569" s="2" t="s">
        <v>23</v>
      </c>
      <c r="C569" s="2">
        <v>8.0</v>
      </c>
      <c r="D569" s="2" t="s">
        <v>62</v>
      </c>
      <c r="E569" s="2" t="s">
        <v>63</v>
      </c>
      <c r="F569" s="2" t="s">
        <v>48</v>
      </c>
      <c r="G569" s="2" t="s">
        <v>43</v>
      </c>
      <c r="H569" s="2" t="s">
        <v>42</v>
      </c>
      <c r="I569" s="2" t="s">
        <v>31</v>
      </c>
      <c r="J569" s="2">
        <v>673.0</v>
      </c>
      <c r="K569" s="2">
        <v>315.0</v>
      </c>
      <c r="L569" s="2">
        <v>197.0</v>
      </c>
      <c r="M569" s="2">
        <v>165.0</v>
      </c>
      <c r="N569" s="2">
        <v>87.0</v>
      </c>
      <c r="O569" s="2">
        <v>199.0</v>
      </c>
      <c r="P569" s="2">
        <v>176.0</v>
      </c>
      <c r="Q569" s="2">
        <v>0.0</v>
      </c>
      <c r="R569" s="2">
        <v>7236.0</v>
      </c>
      <c r="S569" s="2">
        <v>22.0</v>
      </c>
      <c r="T569" s="2">
        <v>7214.0</v>
      </c>
      <c r="U569" s="2">
        <v>22.0</v>
      </c>
      <c r="V569" s="2">
        <v>0.0</v>
      </c>
      <c r="W569" s="2">
        <v>7214.0</v>
      </c>
    </row>
    <row r="570" ht="15.0" customHeight="1">
      <c r="A570" s="2">
        <v>2025.0</v>
      </c>
      <c r="B570" s="2" t="s">
        <v>23</v>
      </c>
      <c r="C570" s="2">
        <v>8.0</v>
      </c>
      <c r="D570" s="2" t="s">
        <v>62</v>
      </c>
      <c r="E570" s="2" t="s">
        <v>63</v>
      </c>
      <c r="F570" s="2" t="s">
        <v>48</v>
      </c>
      <c r="G570" s="2" t="s">
        <v>44</v>
      </c>
      <c r="H570" s="2" t="s">
        <v>45</v>
      </c>
      <c r="I570" s="2" t="s">
        <v>29</v>
      </c>
      <c r="J570" s="2">
        <v>1361.0</v>
      </c>
      <c r="K570" s="2">
        <v>715.0</v>
      </c>
      <c r="L570" s="2">
        <v>185.0</v>
      </c>
      <c r="M570" s="2">
        <v>171.0</v>
      </c>
      <c r="N570" s="2">
        <v>157.0</v>
      </c>
      <c r="O570" s="2">
        <v>347.0</v>
      </c>
      <c r="P570" s="2">
        <v>292.0</v>
      </c>
      <c r="Q570" s="2">
        <v>104.0</v>
      </c>
      <c r="R570" s="2">
        <v>6774.0</v>
      </c>
      <c r="S570" s="2">
        <v>8199.0</v>
      </c>
      <c r="T570" s="2">
        <v>-1425.0</v>
      </c>
      <c r="U570" s="2">
        <v>4086.0</v>
      </c>
      <c r="V570" s="2">
        <v>4113.0</v>
      </c>
      <c r="W570" s="2">
        <v>2688.0</v>
      </c>
    </row>
    <row r="571" ht="15.0" customHeight="1">
      <c r="A571" s="2">
        <v>2025.0</v>
      </c>
      <c r="B571" s="2" t="s">
        <v>23</v>
      </c>
      <c r="C571" s="2">
        <v>8.0</v>
      </c>
      <c r="D571" s="2" t="s">
        <v>62</v>
      </c>
      <c r="E571" s="2" t="s">
        <v>63</v>
      </c>
      <c r="F571" s="2" t="s">
        <v>48</v>
      </c>
      <c r="G571" s="2" t="s">
        <v>44</v>
      </c>
      <c r="H571" s="2" t="s">
        <v>45</v>
      </c>
      <c r="I571" s="2" t="s">
        <v>30</v>
      </c>
      <c r="J571" s="2">
        <v>2135.0</v>
      </c>
      <c r="K571" s="2">
        <v>1101.0</v>
      </c>
      <c r="L571" s="2">
        <v>342.0</v>
      </c>
      <c r="M571" s="2">
        <v>264.0</v>
      </c>
      <c r="N571" s="2">
        <v>219.0</v>
      </c>
      <c r="O571" s="2">
        <v>380.0</v>
      </c>
      <c r="P571" s="2">
        <v>299.0</v>
      </c>
      <c r="Q571" s="2">
        <v>102.0</v>
      </c>
      <c r="R571" s="2">
        <v>7594.0</v>
      </c>
      <c r="S571" s="2">
        <v>4400.0</v>
      </c>
      <c r="T571" s="2">
        <v>3193.0</v>
      </c>
      <c r="U571" s="2">
        <v>4400.0</v>
      </c>
      <c r="V571" s="2">
        <v>0.0</v>
      </c>
      <c r="W571" s="2">
        <v>3193.0</v>
      </c>
    </row>
    <row r="572" ht="15.0" customHeight="1">
      <c r="A572" s="2">
        <v>2025.0</v>
      </c>
      <c r="B572" s="2" t="s">
        <v>23</v>
      </c>
      <c r="C572" s="2">
        <v>8.0</v>
      </c>
      <c r="D572" s="2" t="s">
        <v>62</v>
      </c>
      <c r="E572" s="2" t="s">
        <v>63</v>
      </c>
      <c r="F572" s="2" t="s">
        <v>48</v>
      </c>
      <c r="G572" s="2" t="s">
        <v>44</v>
      </c>
      <c r="H572" s="2" t="s">
        <v>45</v>
      </c>
      <c r="I572" s="2" t="s">
        <v>31</v>
      </c>
      <c r="J572" s="2">
        <v>308.0</v>
      </c>
      <c r="K572" s="2">
        <v>168.0</v>
      </c>
      <c r="L572" s="2">
        <v>77.0</v>
      </c>
      <c r="M572" s="2">
        <v>51.0</v>
      </c>
      <c r="N572" s="2">
        <v>50.0</v>
      </c>
      <c r="O572" s="2">
        <v>186.0</v>
      </c>
      <c r="P572" s="2">
        <v>146.0</v>
      </c>
      <c r="Q572" s="2">
        <v>43.0</v>
      </c>
      <c r="R572" s="2">
        <v>4124.0</v>
      </c>
      <c r="S572" s="2">
        <v>37.0</v>
      </c>
      <c r="T572" s="2">
        <v>4087.0</v>
      </c>
      <c r="U572" s="2">
        <v>37.0</v>
      </c>
      <c r="V572" s="2">
        <v>0.0</v>
      </c>
      <c r="W572" s="2">
        <v>4087.0</v>
      </c>
    </row>
    <row r="573" ht="15.0" customHeight="1">
      <c r="A573" s="2">
        <v>2025.0</v>
      </c>
      <c r="B573" s="2" t="s">
        <v>23</v>
      </c>
      <c r="C573" s="2">
        <v>8.0</v>
      </c>
      <c r="D573" s="2" t="s">
        <v>62</v>
      </c>
      <c r="E573" s="2" t="s">
        <v>63</v>
      </c>
      <c r="F573" s="2" t="s">
        <v>48</v>
      </c>
      <c r="G573" s="2" t="s">
        <v>46</v>
      </c>
      <c r="H573" s="2" t="s">
        <v>47</v>
      </c>
      <c r="I573" s="2" t="s">
        <v>29</v>
      </c>
      <c r="J573" s="2">
        <v>12376.0</v>
      </c>
      <c r="K573" s="2">
        <v>4807.0</v>
      </c>
      <c r="L573" s="2">
        <v>1449.0</v>
      </c>
      <c r="M573" s="2">
        <v>1343.0</v>
      </c>
      <c r="N573" s="2">
        <v>1295.0</v>
      </c>
      <c r="O573" s="2">
        <v>2865.0</v>
      </c>
      <c r="P573" s="2">
        <v>2364.0</v>
      </c>
      <c r="Q573" s="2">
        <v>1293.0</v>
      </c>
      <c r="R573" s="2">
        <v>88022.0</v>
      </c>
      <c r="S573" s="2">
        <v>39759.0</v>
      </c>
      <c r="T573" s="2">
        <v>48263.0</v>
      </c>
      <c r="U573" s="2">
        <v>39371.0</v>
      </c>
      <c r="V573" s="2">
        <v>387.0</v>
      </c>
      <c r="W573" s="2">
        <v>48650.0</v>
      </c>
    </row>
    <row r="574" ht="15.0" customHeight="1">
      <c r="A574" s="2">
        <v>2025.0</v>
      </c>
      <c r="B574" s="2" t="s">
        <v>23</v>
      </c>
      <c r="C574" s="2">
        <v>8.0</v>
      </c>
      <c r="D574" s="2" t="s">
        <v>62</v>
      </c>
      <c r="E574" s="2" t="s">
        <v>63</v>
      </c>
      <c r="F574" s="2" t="s">
        <v>48</v>
      </c>
      <c r="G574" s="2" t="s">
        <v>46</v>
      </c>
      <c r="H574" s="2" t="s">
        <v>47</v>
      </c>
      <c r="I574" s="2" t="s">
        <v>30</v>
      </c>
      <c r="J574" s="2">
        <v>6152.0</v>
      </c>
      <c r="K574" s="2">
        <v>2150.0</v>
      </c>
      <c r="L574" s="2">
        <v>965.0</v>
      </c>
      <c r="M574" s="2">
        <v>685.0</v>
      </c>
      <c r="N574" s="2">
        <v>661.0</v>
      </c>
      <c r="O574" s="2">
        <v>1389.0</v>
      </c>
      <c r="P574" s="2">
        <v>1126.0</v>
      </c>
      <c r="Q574" s="2">
        <v>722.0</v>
      </c>
      <c r="R574" s="2">
        <v>41638.0</v>
      </c>
      <c r="S574" s="2">
        <v>20600.0</v>
      </c>
      <c r="T574" s="2">
        <v>21038.0</v>
      </c>
      <c r="U574" s="2">
        <v>20600.0</v>
      </c>
      <c r="V574" s="2">
        <v>0.0</v>
      </c>
      <c r="W574" s="2">
        <v>21038.0</v>
      </c>
    </row>
    <row r="575" ht="15.0" customHeight="1">
      <c r="A575" s="2">
        <v>2025.0</v>
      </c>
      <c r="B575" s="2" t="s">
        <v>23</v>
      </c>
      <c r="C575" s="2">
        <v>8.0</v>
      </c>
      <c r="D575" s="2" t="s">
        <v>62</v>
      </c>
      <c r="E575" s="2" t="s">
        <v>63</v>
      </c>
      <c r="F575" s="2" t="s">
        <v>48</v>
      </c>
      <c r="G575" s="2" t="s">
        <v>46</v>
      </c>
      <c r="H575" s="2" t="s">
        <v>47</v>
      </c>
      <c r="I575" s="2" t="s">
        <v>31</v>
      </c>
      <c r="J575" s="2">
        <v>866.0</v>
      </c>
      <c r="K575" s="2">
        <v>353.0</v>
      </c>
      <c r="L575" s="2">
        <v>144.0</v>
      </c>
      <c r="M575" s="2">
        <v>96.0</v>
      </c>
      <c r="N575" s="2">
        <v>92.0</v>
      </c>
      <c r="O575" s="2">
        <v>241.0</v>
      </c>
      <c r="P575" s="2">
        <v>196.0</v>
      </c>
      <c r="Q575" s="2">
        <v>115.0</v>
      </c>
      <c r="R575" s="2">
        <v>7446.0</v>
      </c>
      <c r="S575" s="2">
        <v>52.0</v>
      </c>
      <c r="T575" s="2">
        <v>7394.0</v>
      </c>
      <c r="U575" s="2">
        <v>52.0</v>
      </c>
      <c r="V575" s="2">
        <v>0.0</v>
      </c>
      <c r="W575" s="2">
        <v>7394.0</v>
      </c>
    </row>
    <row r="576" ht="15.0" customHeight="1">
      <c r="A576" s="2">
        <v>2025.0</v>
      </c>
      <c r="B576" s="2" t="s">
        <v>49</v>
      </c>
      <c r="C576" s="2">
        <v>12.0</v>
      </c>
      <c r="D576" s="2" t="s">
        <v>64</v>
      </c>
      <c r="E576" s="2" t="s">
        <v>63</v>
      </c>
      <c r="F576" s="2" t="s">
        <v>26</v>
      </c>
      <c r="G576" s="2" t="s">
        <v>27</v>
      </c>
      <c r="H576" s="2" t="s">
        <v>28</v>
      </c>
      <c r="I576" s="2" t="s">
        <v>29</v>
      </c>
      <c r="J576" s="2">
        <v>3638.0</v>
      </c>
      <c r="K576" s="2">
        <v>1857.0</v>
      </c>
      <c r="L576" s="2">
        <v>495.0</v>
      </c>
      <c r="M576" s="2">
        <v>465.0</v>
      </c>
      <c r="N576" s="2">
        <v>379.0</v>
      </c>
      <c r="O576" s="2">
        <v>712.0</v>
      </c>
      <c r="P576" s="2">
        <v>525.0</v>
      </c>
      <c r="Q576" s="2">
        <v>86.0</v>
      </c>
      <c r="R576" s="2">
        <v>12137.0</v>
      </c>
      <c r="S576" s="2">
        <v>7397.0</v>
      </c>
      <c r="T576" s="2">
        <v>4739.0</v>
      </c>
      <c r="U576" s="2">
        <v>7173.0</v>
      </c>
      <c r="V576" s="2">
        <v>224.0</v>
      </c>
      <c r="W576" s="2">
        <v>4963.0</v>
      </c>
    </row>
    <row r="577" ht="15.0" customHeight="1">
      <c r="A577" s="2">
        <v>2025.0</v>
      </c>
      <c r="B577" s="2" t="s">
        <v>49</v>
      </c>
      <c r="C577" s="2">
        <v>12.0</v>
      </c>
      <c r="D577" s="2" t="s">
        <v>64</v>
      </c>
      <c r="E577" s="2" t="s">
        <v>63</v>
      </c>
      <c r="F577" s="2" t="s">
        <v>26</v>
      </c>
      <c r="G577" s="2" t="s">
        <v>27</v>
      </c>
      <c r="H577" s="2" t="s">
        <v>28</v>
      </c>
      <c r="I577" s="2" t="s">
        <v>30</v>
      </c>
      <c r="J577" s="2">
        <v>886.0</v>
      </c>
      <c r="K577" s="2">
        <v>345.0</v>
      </c>
      <c r="L577" s="2">
        <v>73.0</v>
      </c>
      <c r="M577" s="2">
        <v>73.0</v>
      </c>
      <c r="N577" s="2">
        <v>54.0</v>
      </c>
      <c r="O577" s="2">
        <v>101.0</v>
      </c>
      <c r="P577" s="2">
        <v>83.0</v>
      </c>
      <c r="Q577" s="2">
        <v>12.0</v>
      </c>
      <c r="R577" s="2">
        <v>1896.0</v>
      </c>
      <c r="S577" s="2">
        <v>855.0</v>
      </c>
      <c r="T577" s="2">
        <v>1041.0</v>
      </c>
      <c r="U577" s="2">
        <v>855.0</v>
      </c>
      <c r="V577" s="2">
        <v>0.0</v>
      </c>
      <c r="W577" s="2">
        <v>1041.0</v>
      </c>
    </row>
    <row r="578" ht="15.0" customHeight="1">
      <c r="A578" s="2">
        <v>2025.0</v>
      </c>
      <c r="B578" s="2" t="s">
        <v>49</v>
      </c>
      <c r="C578" s="2">
        <v>12.0</v>
      </c>
      <c r="D578" s="2" t="s">
        <v>64</v>
      </c>
      <c r="E578" s="2" t="s">
        <v>63</v>
      </c>
      <c r="F578" s="2" t="s">
        <v>26</v>
      </c>
      <c r="G578" s="2" t="s">
        <v>27</v>
      </c>
      <c r="H578" s="2" t="s">
        <v>28</v>
      </c>
      <c r="I578" s="2" t="s">
        <v>31</v>
      </c>
      <c r="J578" s="2">
        <v>410.0</v>
      </c>
      <c r="K578" s="2">
        <v>250.0</v>
      </c>
      <c r="L578" s="2">
        <v>155.0</v>
      </c>
      <c r="M578" s="2">
        <v>134.0</v>
      </c>
      <c r="N578" s="2">
        <v>92.0</v>
      </c>
      <c r="O578" s="2">
        <v>177.0</v>
      </c>
      <c r="P578" s="2">
        <v>142.0</v>
      </c>
      <c r="Q578" s="2">
        <v>30.0</v>
      </c>
      <c r="R578" s="2">
        <v>3024.0</v>
      </c>
      <c r="S578" s="2">
        <v>431.0</v>
      </c>
      <c r="T578" s="2">
        <v>2593.0</v>
      </c>
      <c r="U578" s="2">
        <v>431.0</v>
      </c>
      <c r="V578" s="2">
        <v>0.0</v>
      </c>
      <c r="W578" s="2">
        <v>2593.0</v>
      </c>
    </row>
    <row r="579" ht="15.0" customHeight="1">
      <c r="A579" s="2">
        <v>2025.0</v>
      </c>
      <c r="B579" s="2" t="s">
        <v>49</v>
      </c>
      <c r="C579" s="2">
        <v>12.0</v>
      </c>
      <c r="D579" s="2" t="s">
        <v>64</v>
      </c>
      <c r="E579" s="2" t="s">
        <v>63</v>
      </c>
      <c r="F579" s="2" t="s">
        <v>26</v>
      </c>
      <c r="G579" s="2" t="s">
        <v>32</v>
      </c>
      <c r="H579" s="2" t="s">
        <v>28</v>
      </c>
      <c r="I579" s="2" t="s">
        <v>29</v>
      </c>
      <c r="J579" s="2">
        <v>4352.0</v>
      </c>
      <c r="K579" s="2">
        <v>2288.0</v>
      </c>
      <c r="L579" s="2">
        <v>1003.0</v>
      </c>
      <c r="M579" s="2">
        <v>962.0</v>
      </c>
      <c r="N579" s="2">
        <v>768.0</v>
      </c>
      <c r="O579" s="2">
        <v>1153.0</v>
      </c>
      <c r="P579" s="2">
        <v>885.0</v>
      </c>
      <c r="Q579" s="2">
        <v>22.0</v>
      </c>
      <c r="R579" s="2">
        <v>8846.0</v>
      </c>
      <c r="S579" s="2">
        <v>3886.0</v>
      </c>
      <c r="T579" s="2">
        <v>4960.0</v>
      </c>
      <c r="U579" s="2">
        <v>3829.0</v>
      </c>
      <c r="V579" s="2">
        <v>57.0</v>
      </c>
      <c r="W579" s="2">
        <v>5017.0</v>
      </c>
    </row>
    <row r="580" ht="15.0" customHeight="1">
      <c r="A580" s="2">
        <v>2025.0</v>
      </c>
      <c r="B580" s="2" t="s">
        <v>49</v>
      </c>
      <c r="C580" s="2">
        <v>12.0</v>
      </c>
      <c r="D580" s="2" t="s">
        <v>64</v>
      </c>
      <c r="E580" s="2" t="s">
        <v>63</v>
      </c>
      <c r="F580" s="2" t="s">
        <v>26</v>
      </c>
      <c r="G580" s="2" t="s">
        <v>32</v>
      </c>
      <c r="H580" s="2" t="s">
        <v>28</v>
      </c>
      <c r="I580" s="2" t="s">
        <v>30</v>
      </c>
      <c r="J580" s="2">
        <v>959.0</v>
      </c>
      <c r="K580" s="2">
        <v>345.0</v>
      </c>
      <c r="L580" s="2">
        <v>137.0</v>
      </c>
      <c r="M580" s="2">
        <v>134.0</v>
      </c>
      <c r="N580" s="2">
        <v>109.0</v>
      </c>
      <c r="O580" s="2">
        <v>159.0</v>
      </c>
      <c r="P580" s="2">
        <v>123.0</v>
      </c>
      <c r="Q580" s="2">
        <v>1.0</v>
      </c>
      <c r="R580" s="2">
        <v>1183.0</v>
      </c>
      <c r="S580" s="2">
        <v>741.0</v>
      </c>
      <c r="T580" s="2">
        <v>443.0</v>
      </c>
      <c r="U580" s="2">
        <v>741.0</v>
      </c>
      <c r="V580" s="2">
        <v>0.0</v>
      </c>
      <c r="W580" s="2">
        <v>443.0</v>
      </c>
    </row>
    <row r="581" ht="15.0" customHeight="1">
      <c r="A581" s="2">
        <v>2025.0</v>
      </c>
      <c r="B581" s="2" t="s">
        <v>49</v>
      </c>
      <c r="C581" s="2">
        <v>12.0</v>
      </c>
      <c r="D581" s="2" t="s">
        <v>64</v>
      </c>
      <c r="E581" s="2" t="s">
        <v>63</v>
      </c>
      <c r="F581" s="2" t="s">
        <v>26</v>
      </c>
      <c r="G581" s="2" t="s">
        <v>32</v>
      </c>
      <c r="H581" s="2" t="s">
        <v>28</v>
      </c>
      <c r="I581" s="2" t="s">
        <v>31</v>
      </c>
      <c r="J581" s="2">
        <v>2834.0</v>
      </c>
      <c r="K581" s="2">
        <v>1530.0</v>
      </c>
      <c r="L581" s="2">
        <v>942.0</v>
      </c>
      <c r="M581" s="2">
        <v>839.0</v>
      </c>
      <c r="N581" s="2">
        <v>622.0</v>
      </c>
      <c r="O581" s="2">
        <v>877.0</v>
      </c>
      <c r="P581" s="2">
        <v>655.0</v>
      </c>
      <c r="Q581" s="2">
        <v>8.0</v>
      </c>
      <c r="R581" s="2">
        <v>6046.0</v>
      </c>
      <c r="S581" s="2">
        <v>163.0</v>
      </c>
      <c r="T581" s="2">
        <v>5883.0</v>
      </c>
      <c r="U581" s="2">
        <v>163.0</v>
      </c>
      <c r="V581" s="2">
        <v>0.0</v>
      </c>
      <c r="W581" s="2">
        <v>5883.0</v>
      </c>
    </row>
    <row r="582" ht="15.0" customHeight="1">
      <c r="A582" s="2">
        <v>2025.0</v>
      </c>
      <c r="B582" s="2" t="s">
        <v>49</v>
      </c>
      <c r="C582" s="2">
        <v>12.0</v>
      </c>
      <c r="D582" s="2" t="s">
        <v>64</v>
      </c>
      <c r="E582" s="2" t="s">
        <v>63</v>
      </c>
      <c r="F582" s="2" t="s">
        <v>26</v>
      </c>
      <c r="G582" s="2" t="s">
        <v>33</v>
      </c>
      <c r="H582" s="2" t="s">
        <v>28</v>
      </c>
      <c r="I582" s="2" t="s">
        <v>29</v>
      </c>
      <c r="J582" s="2">
        <v>8138.0</v>
      </c>
      <c r="K582" s="2">
        <v>4342.0</v>
      </c>
      <c r="L582" s="2">
        <v>1990.0</v>
      </c>
      <c r="M582" s="2">
        <v>1917.0</v>
      </c>
      <c r="N582" s="2">
        <v>983.0</v>
      </c>
      <c r="O582" s="2">
        <v>1230.0</v>
      </c>
      <c r="P582" s="2">
        <v>1092.0</v>
      </c>
      <c r="Q582" s="2">
        <v>113.0</v>
      </c>
      <c r="R582" s="2">
        <v>13939.0</v>
      </c>
      <c r="S582" s="2">
        <v>8961.0</v>
      </c>
      <c r="T582" s="2">
        <v>4978.0</v>
      </c>
      <c r="U582" s="2">
        <v>8952.0</v>
      </c>
      <c r="V582" s="2">
        <v>9.0</v>
      </c>
      <c r="W582" s="2">
        <v>4987.0</v>
      </c>
    </row>
    <row r="583" ht="15.0" customHeight="1">
      <c r="A583" s="2">
        <v>2025.0</v>
      </c>
      <c r="B583" s="2" t="s">
        <v>49</v>
      </c>
      <c r="C583" s="2">
        <v>12.0</v>
      </c>
      <c r="D583" s="2" t="s">
        <v>64</v>
      </c>
      <c r="E583" s="2" t="s">
        <v>63</v>
      </c>
      <c r="F583" s="2" t="s">
        <v>26</v>
      </c>
      <c r="G583" s="2" t="s">
        <v>33</v>
      </c>
      <c r="H583" s="2" t="s">
        <v>28</v>
      </c>
      <c r="I583" s="2" t="s">
        <v>30</v>
      </c>
      <c r="J583" s="2">
        <v>1259.0</v>
      </c>
      <c r="K583" s="2">
        <v>638.0</v>
      </c>
      <c r="L583" s="2">
        <v>296.0</v>
      </c>
      <c r="M583" s="2">
        <v>282.0</v>
      </c>
      <c r="N583" s="2">
        <v>155.0</v>
      </c>
      <c r="O583" s="2">
        <v>179.0</v>
      </c>
      <c r="P583" s="2">
        <v>158.0</v>
      </c>
      <c r="Q583" s="2">
        <v>9.0</v>
      </c>
      <c r="R583" s="2">
        <v>1857.0</v>
      </c>
      <c r="S583" s="2">
        <v>1190.0</v>
      </c>
      <c r="T583" s="2">
        <v>667.0</v>
      </c>
      <c r="U583" s="2">
        <v>1190.0</v>
      </c>
      <c r="V583" s="2">
        <v>0.0</v>
      </c>
      <c r="W583" s="2">
        <v>667.0</v>
      </c>
    </row>
    <row r="584" ht="15.0" customHeight="1">
      <c r="A584" s="2">
        <v>2025.0</v>
      </c>
      <c r="B584" s="2" t="s">
        <v>49</v>
      </c>
      <c r="C584" s="2">
        <v>12.0</v>
      </c>
      <c r="D584" s="2" t="s">
        <v>64</v>
      </c>
      <c r="E584" s="2" t="s">
        <v>63</v>
      </c>
      <c r="F584" s="2" t="s">
        <v>26</v>
      </c>
      <c r="G584" s="2" t="s">
        <v>33</v>
      </c>
      <c r="H584" s="2" t="s">
        <v>28</v>
      </c>
      <c r="I584" s="2" t="s">
        <v>31</v>
      </c>
      <c r="J584" s="2">
        <v>417.0</v>
      </c>
      <c r="K584" s="2">
        <v>162.0</v>
      </c>
      <c r="L584" s="2">
        <v>114.0</v>
      </c>
      <c r="M584" s="2">
        <v>96.0</v>
      </c>
      <c r="N584" s="2">
        <v>55.0</v>
      </c>
      <c r="O584" s="2">
        <v>66.0</v>
      </c>
      <c r="P584" s="2">
        <v>59.0</v>
      </c>
      <c r="Q584" s="2">
        <v>5.0</v>
      </c>
      <c r="R584" s="2">
        <v>775.0</v>
      </c>
      <c r="S584" s="2">
        <v>28.0</v>
      </c>
      <c r="T584" s="2">
        <v>747.0</v>
      </c>
      <c r="U584" s="2">
        <v>28.0</v>
      </c>
      <c r="V584" s="2">
        <v>0.0</v>
      </c>
      <c r="W584" s="2">
        <v>747.0</v>
      </c>
    </row>
    <row r="585" ht="15.0" customHeight="1">
      <c r="A585" s="2">
        <v>2025.0</v>
      </c>
      <c r="B585" s="2" t="s">
        <v>49</v>
      </c>
      <c r="C585" s="2">
        <v>12.0</v>
      </c>
      <c r="D585" s="2" t="s">
        <v>64</v>
      </c>
      <c r="E585" s="2" t="s">
        <v>63</v>
      </c>
      <c r="F585" s="2" t="s">
        <v>26</v>
      </c>
      <c r="G585" s="2" t="s">
        <v>34</v>
      </c>
      <c r="H585" s="2" t="s">
        <v>35</v>
      </c>
      <c r="I585" s="2" t="s">
        <v>29</v>
      </c>
      <c r="J585" s="2">
        <v>6023.0</v>
      </c>
      <c r="K585" s="2">
        <v>3832.0</v>
      </c>
      <c r="L585" s="2">
        <v>1925.0</v>
      </c>
      <c r="M585" s="2">
        <v>1849.0</v>
      </c>
      <c r="N585" s="2">
        <v>777.0</v>
      </c>
      <c r="O585" s="2">
        <v>1006.0</v>
      </c>
      <c r="P585" s="2">
        <v>688.0</v>
      </c>
      <c r="Q585" s="2">
        <v>0.0</v>
      </c>
      <c r="R585" s="2">
        <v>9228.0</v>
      </c>
      <c r="S585" s="2">
        <v>5421.0</v>
      </c>
      <c r="T585" s="2">
        <v>3808.0</v>
      </c>
      <c r="U585" s="2">
        <v>4305.0</v>
      </c>
      <c r="V585" s="2">
        <v>1116.0</v>
      </c>
      <c r="W585" s="2">
        <v>4924.0</v>
      </c>
    </row>
    <row r="586" ht="15.0" customHeight="1">
      <c r="A586" s="2">
        <v>2025.0</v>
      </c>
      <c r="B586" s="2" t="s">
        <v>49</v>
      </c>
      <c r="C586" s="2">
        <v>12.0</v>
      </c>
      <c r="D586" s="2" t="s">
        <v>64</v>
      </c>
      <c r="E586" s="2" t="s">
        <v>63</v>
      </c>
      <c r="F586" s="2" t="s">
        <v>26</v>
      </c>
      <c r="G586" s="2" t="s">
        <v>34</v>
      </c>
      <c r="H586" s="2" t="s">
        <v>35</v>
      </c>
      <c r="I586" s="2" t="s">
        <v>30</v>
      </c>
      <c r="J586" s="2">
        <v>1954.0</v>
      </c>
      <c r="K586" s="2">
        <v>960.0</v>
      </c>
      <c r="L586" s="2">
        <v>384.0</v>
      </c>
      <c r="M586" s="2">
        <v>363.0</v>
      </c>
      <c r="N586" s="2">
        <v>136.0</v>
      </c>
      <c r="O586" s="2">
        <v>186.0</v>
      </c>
      <c r="P586" s="2">
        <v>135.0</v>
      </c>
      <c r="Q586" s="2">
        <v>0.0</v>
      </c>
      <c r="R586" s="2">
        <v>1832.0</v>
      </c>
      <c r="S586" s="2">
        <v>1243.0</v>
      </c>
      <c r="T586" s="2">
        <v>590.0</v>
      </c>
      <c r="U586" s="2">
        <v>1243.0</v>
      </c>
      <c r="V586" s="2">
        <v>0.0</v>
      </c>
      <c r="W586" s="2">
        <v>590.0</v>
      </c>
    </row>
    <row r="587" ht="15.0" customHeight="1">
      <c r="A587" s="2">
        <v>2025.0</v>
      </c>
      <c r="B587" s="2" t="s">
        <v>49</v>
      </c>
      <c r="C587" s="2">
        <v>12.0</v>
      </c>
      <c r="D587" s="2" t="s">
        <v>64</v>
      </c>
      <c r="E587" s="2" t="s">
        <v>63</v>
      </c>
      <c r="F587" s="2" t="s">
        <v>26</v>
      </c>
      <c r="G587" s="2" t="s">
        <v>34</v>
      </c>
      <c r="H587" s="2" t="s">
        <v>35</v>
      </c>
      <c r="I587" s="2" t="s">
        <v>31</v>
      </c>
      <c r="J587" s="2">
        <v>413.0</v>
      </c>
      <c r="K587" s="2">
        <v>273.0</v>
      </c>
      <c r="L587" s="2">
        <v>147.0</v>
      </c>
      <c r="M587" s="2">
        <v>122.0</v>
      </c>
      <c r="N587" s="2">
        <v>38.0</v>
      </c>
      <c r="O587" s="2">
        <v>67.0</v>
      </c>
      <c r="P587" s="2">
        <v>42.0</v>
      </c>
      <c r="Q587" s="2">
        <v>0.0</v>
      </c>
      <c r="R587" s="2">
        <v>751.0</v>
      </c>
      <c r="S587" s="2">
        <v>0.0</v>
      </c>
      <c r="T587" s="2">
        <v>751.0</v>
      </c>
      <c r="U587" s="2">
        <v>0.0</v>
      </c>
      <c r="V587" s="2">
        <v>0.0</v>
      </c>
      <c r="W587" s="2">
        <v>751.0</v>
      </c>
    </row>
    <row r="588" ht="15.0" customHeight="1">
      <c r="A588" s="2">
        <v>2025.0</v>
      </c>
      <c r="B588" s="2" t="s">
        <v>49</v>
      </c>
      <c r="C588" s="2">
        <v>12.0</v>
      </c>
      <c r="D588" s="2" t="s">
        <v>64</v>
      </c>
      <c r="E588" s="2" t="s">
        <v>63</v>
      </c>
      <c r="F588" s="2" t="s">
        <v>26</v>
      </c>
      <c r="G588" s="2" t="s">
        <v>36</v>
      </c>
      <c r="H588" s="2" t="s">
        <v>35</v>
      </c>
      <c r="I588" s="2" t="s">
        <v>29</v>
      </c>
      <c r="J588" s="2">
        <v>3439.0</v>
      </c>
      <c r="K588" s="2">
        <v>2176.0</v>
      </c>
      <c r="L588" s="2">
        <v>1213.0</v>
      </c>
      <c r="M588" s="2">
        <v>1176.0</v>
      </c>
      <c r="N588" s="2">
        <v>595.0</v>
      </c>
      <c r="O588" s="2">
        <v>811.0</v>
      </c>
      <c r="P588" s="2">
        <v>563.0</v>
      </c>
      <c r="Q588" s="2">
        <v>0.0</v>
      </c>
      <c r="R588" s="2">
        <v>6329.0</v>
      </c>
      <c r="S588" s="2">
        <v>3511.0</v>
      </c>
      <c r="T588" s="2">
        <v>2817.0</v>
      </c>
      <c r="U588" s="2">
        <v>3230.0</v>
      </c>
      <c r="V588" s="2">
        <v>281.0</v>
      </c>
      <c r="W588" s="2">
        <v>3098.0</v>
      </c>
    </row>
    <row r="589" ht="15.0" customHeight="1">
      <c r="A589" s="2">
        <v>2025.0</v>
      </c>
      <c r="B589" s="2" t="s">
        <v>49</v>
      </c>
      <c r="C589" s="2">
        <v>12.0</v>
      </c>
      <c r="D589" s="2" t="s">
        <v>64</v>
      </c>
      <c r="E589" s="2" t="s">
        <v>63</v>
      </c>
      <c r="F589" s="2" t="s">
        <v>26</v>
      </c>
      <c r="G589" s="2" t="s">
        <v>36</v>
      </c>
      <c r="H589" s="2" t="s">
        <v>35</v>
      </c>
      <c r="I589" s="2" t="s">
        <v>30</v>
      </c>
      <c r="J589" s="2">
        <v>579.0</v>
      </c>
      <c r="K589" s="2">
        <v>311.0</v>
      </c>
      <c r="L589" s="2">
        <v>143.0</v>
      </c>
      <c r="M589" s="2">
        <v>135.0</v>
      </c>
      <c r="N589" s="2">
        <v>64.0</v>
      </c>
      <c r="O589" s="2">
        <v>94.0</v>
      </c>
      <c r="P589" s="2">
        <v>64.0</v>
      </c>
      <c r="Q589" s="2">
        <v>0.0</v>
      </c>
      <c r="R589" s="2">
        <v>752.0</v>
      </c>
      <c r="S589" s="2">
        <v>514.0</v>
      </c>
      <c r="T589" s="2">
        <v>239.0</v>
      </c>
      <c r="U589" s="2">
        <v>514.0</v>
      </c>
      <c r="V589" s="2">
        <v>0.0</v>
      </c>
      <c r="W589" s="2">
        <v>239.0</v>
      </c>
    </row>
    <row r="590" ht="15.0" customHeight="1">
      <c r="A590" s="2">
        <v>2025.0</v>
      </c>
      <c r="B590" s="2" t="s">
        <v>49</v>
      </c>
      <c r="C590" s="2">
        <v>12.0</v>
      </c>
      <c r="D590" s="2" t="s">
        <v>64</v>
      </c>
      <c r="E590" s="2" t="s">
        <v>63</v>
      </c>
      <c r="F590" s="2" t="s">
        <v>26</v>
      </c>
      <c r="G590" s="2" t="s">
        <v>36</v>
      </c>
      <c r="H590" s="2" t="s">
        <v>35</v>
      </c>
      <c r="I590" s="2" t="s">
        <v>31</v>
      </c>
      <c r="J590" s="2">
        <v>363.0</v>
      </c>
      <c r="K590" s="2">
        <v>217.0</v>
      </c>
      <c r="L590" s="2">
        <v>119.0</v>
      </c>
      <c r="M590" s="2">
        <v>96.0</v>
      </c>
      <c r="N590" s="2">
        <v>53.0</v>
      </c>
      <c r="O590" s="2">
        <v>89.0</v>
      </c>
      <c r="P590" s="2">
        <v>61.0</v>
      </c>
      <c r="Q590" s="2">
        <v>0.0</v>
      </c>
      <c r="R590" s="2">
        <v>651.0</v>
      </c>
      <c r="S590" s="2">
        <v>27.0</v>
      </c>
      <c r="T590" s="2">
        <v>624.0</v>
      </c>
      <c r="U590" s="2">
        <v>27.0</v>
      </c>
      <c r="V590" s="2">
        <v>0.0</v>
      </c>
      <c r="W590" s="2">
        <v>624.0</v>
      </c>
    </row>
    <row r="591" ht="15.0" customHeight="1">
      <c r="A591" s="2">
        <v>2025.0</v>
      </c>
      <c r="B591" s="2" t="s">
        <v>49</v>
      </c>
      <c r="C591" s="2">
        <v>12.0</v>
      </c>
      <c r="D591" s="2" t="s">
        <v>64</v>
      </c>
      <c r="E591" s="2" t="s">
        <v>63</v>
      </c>
      <c r="F591" s="2" t="s">
        <v>26</v>
      </c>
      <c r="G591" s="2" t="s">
        <v>37</v>
      </c>
      <c r="H591" s="2" t="s">
        <v>35</v>
      </c>
      <c r="I591" s="2" t="s">
        <v>29</v>
      </c>
      <c r="J591" s="2">
        <v>734.0</v>
      </c>
      <c r="K591" s="2">
        <v>364.0</v>
      </c>
      <c r="L591" s="2">
        <v>121.0</v>
      </c>
      <c r="M591" s="2">
        <v>114.0</v>
      </c>
      <c r="N591" s="2">
        <v>87.0</v>
      </c>
      <c r="O591" s="2">
        <v>273.0</v>
      </c>
      <c r="P591" s="2">
        <v>222.0</v>
      </c>
      <c r="Q591" s="2">
        <v>0.0</v>
      </c>
      <c r="R591" s="2">
        <v>5877.0</v>
      </c>
      <c r="S591" s="2">
        <v>2902.0</v>
      </c>
      <c r="T591" s="2">
        <v>2975.0</v>
      </c>
      <c r="U591" s="2">
        <v>2902.0</v>
      </c>
      <c r="V591" s="2">
        <v>0.0</v>
      </c>
      <c r="W591" s="2">
        <v>2975.0</v>
      </c>
    </row>
    <row r="592" ht="15.0" customHeight="1">
      <c r="A592" s="2">
        <v>2025.0</v>
      </c>
      <c r="B592" s="2" t="s">
        <v>49</v>
      </c>
      <c r="C592" s="2">
        <v>12.0</v>
      </c>
      <c r="D592" s="2" t="s">
        <v>64</v>
      </c>
      <c r="E592" s="2" t="s">
        <v>63</v>
      </c>
      <c r="F592" s="2" t="s">
        <v>26</v>
      </c>
      <c r="G592" s="2" t="s">
        <v>37</v>
      </c>
      <c r="H592" s="2" t="s">
        <v>35</v>
      </c>
      <c r="I592" s="2" t="s">
        <v>30</v>
      </c>
      <c r="J592" s="2">
        <v>191.0</v>
      </c>
      <c r="K592" s="2">
        <v>67.0</v>
      </c>
      <c r="L592" s="2">
        <v>25.0</v>
      </c>
      <c r="M592" s="2">
        <v>23.0</v>
      </c>
      <c r="N592" s="2">
        <v>18.0</v>
      </c>
      <c r="O592" s="2">
        <v>40.0</v>
      </c>
      <c r="P592" s="2">
        <v>29.0</v>
      </c>
      <c r="Q592" s="2">
        <v>0.0</v>
      </c>
      <c r="R592" s="2">
        <v>663.0</v>
      </c>
      <c r="S592" s="2">
        <v>384.0</v>
      </c>
      <c r="T592" s="2">
        <v>280.0</v>
      </c>
      <c r="U592" s="2">
        <v>384.0</v>
      </c>
      <c r="V592" s="2">
        <v>0.0</v>
      </c>
      <c r="W592" s="2">
        <v>280.0</v>
      </c>
    </row>
    <row r="593" ht="15.0" customHeight="1">
      <c r="A593" s="2">
        <v>2025.0</v>
      </c>
      <c r="B593" s="2" t="s">
        <v>49</v>
      </c>
      <c r="C593" s="2">
        <v>12.0</v>
      </c>
      <c r="D593" s="2" t="s">
        <v>64</v>
      </c>
      <c r="E593" s="2" t="s">
        <v>63</v>
      </c>
      <c r="F593" s="2" t="s">
        <v>26</v>
      </c>
      <c r="G593" s="2" t="s">
        <v>37</v>
      </c>
      <c r="H593" s="2" t="s">
        <v>35</v>
      </c>
      <c r="I593" s="2" t="s">
        <v>31</v>
      </c>
      <c r="J593" s="2">
        <v>21.0</v>
      </c>
      <c r="K593" s="2">
        <v>14.0</v>
      </c>
      <c r="L593" s="2">
        <v>5.0</v>
      </c>
      <c r="M593" s="2">
        <v>4.0</v>
      </c>
      <c r="N593" s="2">
        <v>4.0</v>
      </c>
      <c r="O593" s="2">
        <v>14.0</v>
      </c>
      <c r="P593" s="2">
        <v>13.0</v>
      </c>
      <c r="Q593" s="2">
        <v>0.0</v>
      </c>
      <c r="R593" s="2">
        <v>296.0</v>
      </c>
      <c r="S593" s="2">
        <v>0.0</v>
      </c>
      <c r="T593" s="2">
        <v>296.0</v>
      </c>
      <c r="U593" s="2">
        <v>0.0</v>
      </c>
      <c r="V593" s="2">
        <v>0.0</v>
      </c>
      <c r="W593" s="2">
        <v>296.0</v>
      </c>
    </row>
    <row r="594" ht="15.0" customHeight="1">
      <c r="A594" s="2">
        <v>2025.0</v>
      </c>
      <c r="B594" s="2" t="s">
        <v>49</v>
      </c>
      <c r="C594" s="2">
        <v>12.0</v>
      </c>
      <c r="D594" s="2" t="s">
        <v>64</v>
      </c>
      <c r="E594" s="2" t="s">
        <v>63</v>
      </c>
      <c r="F594" s="2" t="s">
        <v>26</v>
      </c>
      <c r="G594" s="2" t="s">
        <v>38</v>
      </c>
      <c r="H594" s="2" t="s">
        <v>35</v>
      </c>
      <c r="I594" s="2" t="s">
        <v>29</v>
      </c>
      <c r="J594" s="2">
        <v>2185.0</v>
      </c>
      <c r="K594" s="2">
        <v>1122.0</v>
      </c>
      <c r="L594" s="2">
        <v>618.0</v>
      </c>
      <c r="M594" s="2">
        <v>594.0</v>
      </c>
      <c r="N594" s="2">
        <v>441.0</v>
      </c>
      <c r="O594" s="2">
        <v>815.0</v>
      </c>
      <c r="P594" s="2">
        <v>596.0</v>
      </c>
      <c r="Q594" s="2">
        <v>2.0</v>
      </c>
      <c r="R594" s="2">
        <v>9964.0</v>
      </c>
      <c r="S594" s="2">
        <v>4414.0</v>
      </c>
      <c r="T594" s="2">
        <v>5551.0</v>
      </c>
      <c r="U594" s="2">
        <v>4399.0</v>
      </c>
      <c r="V594" s="2">
        <v>14.0</v>
      </c>
      <c r="W594" s="2">
        <v>5565.0</v>
      </c>
    </row>
    <row r="595" ht="15.0" customHeight="1">
      <c r="A595" s="2">
        <v>2025.0</v>
      </c>
      <c r="B595" s="2" t="s">
        <v>49</v>
      </c>
      <c r="C595" s="2">
        <v>12.0</v>
      </c>
      <c r="D595" s="2" t="s">
        <v>64</v>
      </c>
      <c r="E595" s="2" t="s">
        <v>63</v>
      </c>
      <c r="F595" s="2" t="s">
        <v>26</v>
      </c>
      <c r="G595" s="2" t="s">
        <v>38</v>
      </c>
      <c r="H595" s="2" t="s">
        <v>35</v>
      </c>
      <c r="I595" s="2" t="s">
        <v>30</v>
      </c>
      <c r="J595" s="2">
        <v>123.0</v>
      </c>
      <c r="K595" s="2">
        <v>41.0</v>
      </c>
      <c r="L595" s="2">
        <v>18.0</v>
      </c>
      <c r="M595" s="2">
        <v>17.0</v>
      </c>
      <c r="N595" s="2">
        <v>9.0</v>
      </c>
      <c r="O595" s="2">
        <v>14.0</v>
      </c>
      <c r="P595" s="2">
        <v>12.0</v>
      </c>
      <c r="Q595" s="2">
        <v>0.0</v>
      </c>
      <c r="R595" s="2">
        <v>220.0</v>
      </c>
      <c r="S595" s="2">
        <v>133.0</v>
      </c>
      <c r="T595" s="2">
        <v>87.0</v>
      </c>
      <c r="U595" s="2">
        <v>133.0</v>
      </c>
      <c r="V595" s="2">
        <v>0.0</v>
      </c>
      <c r="W595" s="2">
        <v>87.0</v>
      </c>
    </row>
    <row r="596" ht="15.0" customHeight="1">
      <c r="A596" s="2">
        <v>2025.0</v>
      </c>
      <c r="B596" s="2" t="s">
        <v>49</v>
      </c>
      <c r="C596" s="2">
        <v>12.0</v>
      </c>
      <c r="D596" s="2" t="s">
        <v>64</v>
      </c>
      <c r="E596" s="2" t="s">
        <v>63</v>
      </c>
      <c r="F596" s="2" t="s">
        <v>26</v>
      </c>
      <c r="G596" s="2" t="s">
        <v>38</v>
      </c>
      <c r="H596" s="2" t="s">
        <v>35</v>
      </c>
      <c r="I596" s="2" t="s">
        <v>31</v>
      </c>
      <c r="J596" s="2">
        <v>388.0</v>
      </c>
      <c r="K596" s="2">
        <v>178.0</v>
      </c>
      <c r="L596" s="2">
        <v>83.0</v>
      </c>
      <c r="M596" s="2">
        <v>62.0</v>
      </c>
      <c r="N596" s="2">
        <v>44.0</v>
      </c>
      <c r="O596" s="2">
        <v>87.0</v>
      </c>
      <c r="P596" s="2">
        <v>53.0</v>
      </c>
      <c r="Q596" s="2">
        <v>0.0</v>
      </c>
      <c r="R596" s="2">
        <v>917.0</v>
      </c>
      <c r="S596" s="2">
        <v>14.0</v>
      </c>
      <c r="T596" s="2">
        <v>903.0</v>
      </c>
      <c r="U596" s="2">
        <v>14.0</v>
      </c>
      <c r="V596" s="2">
        <v>0.0</v>
      </c>
      <c r="W596" s="2">
        <v>903.0</v>
      </c>
    </row>
    <row r="597" ht="15.0" customHeight="1">
      <c r="A597" s="2">
        <v>2025.0</v>
      </c>
      <c r="B597" s="2" t="s">
        <v>49</v>
      </c>
      <c r="C597" s="2">
        <v>12.0</v>
      </c>
      <c r="D597" s="2" t="s">
        <v>64</v>
      </c>
      <c r="E597" s="2" t="s">
        <v>63</v>
      </c>
      <c r="F597" s="2" t="s">
        <v>26</v>
      </c>
      <c r="G597" s="2" t="s">
        <v>39</v>
      </c>
      <c r="H597" s="2" t="s">
        <v>40</v>
      </c>
      <c r="I597" s="2" t="s">
        <v>29</v>
      </c>
      <c r="J597" s="2">
        <v>7438.0</v>
      </c>
      <c r="K597" s="2">
        <v>4786.0</v>
      </c>
      <c r="L597" s="2">
        <v>2642.0</v>
      </c>
      <c r="M597" s="2">
        <v>2474.0</v>
      </c>
      <c r="N597" s="2">
        <v>911.0</v>
      </c>
      <c r="O597" s="2">
        <v>1145.0</v>
      </c>
      <c r="P597" s="2">
        <v>682.0</v>
      </c>
      <c r="Q597" s="2">
        <v>0.0</v>
      </c>
      <c r="R597" s="2">
        <v>10059.0</v>
      </c>
      <c r="S597" s="2">
        <v>4866.0</v>
      </c>
      <c r="T597" s="2">
        <v>5193.0</v>
      </c>
      <c r="U597" s="2">
        <v>4774.0</v>
      </c>
      <c r="V597" s="2">
        <v>92.0</v>
      </c>
      <c r="W597" s="2">
        <v>5285.0</v>
      </c>
    </row>
    <row r="598" ht="15.0" customHeight="1">
      <c r="A598" s="2">
        <v>2025.0</v>
      </c>
      <c r="B598" s="2" t="s">
        <v>49</v>
      </c>
      <c r="C598" s="2">
        <v>12.0</v>
      </c>
      <c r="D598" s="2" t="s">
        <v>64</v>
      </c>
      <c r="E598" s="2" t="s">
        <v>63</v>
      </c>
      <c r="F598" s="2" t="s">
        <v>26</v>
      </c>
      <c r="G598" s="2" t="s">
        <v>39</v>
      </c>
      <c r="H598" s="2" t="s">
        <v>40</v>
      </c>
      <c r="I598" s="2" t="s">
        <v>30</v>
      </c>
      <c r="J598" s="2">
        <v>3058.0</v>
      </c>
      <c r="K598" s="2">
        <v>1006.0</v>
      </c>
      <c r="L598" s="2">
        <v>402.0</v>
      </c>
      <c r="M598" s="2">
        <v>370.0</v>
      </c>
      <c r="N598" s="2">
        <v>149.0</v>
      </c>
      <c r="O598" s="2">
        <v>170.0</v>
      </c>
      <c r="P598" s="2">
        <v>106.0</v>
      </c>
      <c r="Q598" s="2">
        <v>0.0</v>
      </c>
      <c r="R598" s="2">
        <v>1496.0</v>
      </c>
      <c r="S598" s="2">
        <v>2075.0</v>
      </c>
      <c r="T598" s="2">
        <v>-579.0</v>
      </c>
      <c r="U598" s="2">
        <v>2075.0</v>
      </c>
      <c r="V598" s="2">
        <v>0.0</v>
      </c>
      <c r="W598" s="2">
        <v>-579.0</v>
      </c>
    </row>
    <row r="599" ht="15.0" customHeight="1">
      <c r="A599" s="2">
        <v>2025.0</v>
      </c>
      <c r="B599" s="2" t="s">
        <v>49</v>
      </c>
      <c r="C599" s="2">
        <v>12.0</v>
      </c>
      <c r="D599" s="2" t="s">
        <v>64</v>
      </c>
      <c r="E599" s="2" t="s">
        <v>63</v>
      </c>
      <c r="F599" s="2" t="s">
        <v>26</v>
      </c>
      <c r="G599" s="2" t="s">
        <v>39</v>
      </c>
      <c r="H599" s="2" t="s">
        <v>40</v>
      </c>
      <c r="I599" s="2" t="s">
        <v>31</v>
      </c>
      <c r="J599" s="2">
        <v>2556.0</v>
      </c>
      <c r="K599" s="2">
        <v>1474.0</v>
      </c>
      <c r="L599" s="2">
        <v>741.0</v>
      </c>
      <c r="M599" s="2">
        <v>601.0</v>
      </c>
      <c r="N599" s="2">
        <v>228.0</v>
      </c>
      <c r="O599" s="2">
        <v>292.0</v>
      </c>
      <c r="P599" s="2">
        <v>158.0</v>
      </c>
      <c r="Q599" s="2">
        <v>0.0</v>
      </c>
      <c r="R599" s="2">
        <v>2360.0</v>
      </c>
      <c r="S599" s="2">
        <v>28.0</v>
      </c>
      <c r="T599" s="2">
        <v>2331.0</v>
      </c>
      <c r="U599" s="2">
        <v>28.0</v>
      </c>
      <c r="V599" s="2">
        <v>0.0</v>
      </c>
      <c r="W599" s="2">
        <v>2331.0</v>
      </c>
    </row>
    <row r="600" ht="15.0" customHeight="1">
      <c r="A600" s="2">
        <v>2025.0</v>
      </c>
      <c r="B600" s="2" t="s">
        <v>49</v>
      </c>
      <c r="C600" s="2">
        <v>12.0</v>
      </c>
      <c r="D600" s="2" t="s">
        <v>64</v>
      </c>
      <c r="E600" s="2" t="s">
        <v>63</v>
      </c>
      <c r="F600" s="2" t="s">
        <v>26</v>
      </c>
      <c r="G600" s="2" t="s">
        <v>41</v>
      </c>
      <c r="H600" s="2" t="s">
        <v>42</v>
      </c>
      <c r="I600" s="2" t="s">
        <v>29</v>
      </c>
      <c r="J600" s="2">
        <v>10368.0</v>
      </c>
      <c r="K600" s="2">
        <v>5661.0</v>
      </c>
      <c r="L600" s="2">
        <v>3171.0</v>
      </c>
      <c r="M600" s="2">
        <v>2971.0</v>
      </c>
      <c r="N600" s="2">
        <v>1579.0</v>
      </c>
      <c r="O600" s="2">
        <v>2029.0</v>
      </c>
      <c r="P600" s="2">
        <v>1506.0</v>
      </c>
      <c r="Q600" s="2">
        <v>14.0</v>
      </c>
      <c r="R600" s="2">
        <v>11871.0</v>
      </c>
      <c r="S600" s="2">
        <v>6085.0</v>
      </c>
      <c r="T600" s="2">
        <v>5786.0</v>
      </c>
      <c r="U600" s="2">
        <v>5981.0</v>
      </c>
      <c r="V600" s="2">
        <v>104.0</v>
      </c>
      <c r="W600" s="2">
        <v>5889.0</v>
      </c>
    </row>
    <row r="601" ht="15.0" customHeight="1">
      <c r="A601" s="2">
        <v>2025.0</v>
      </c>
      <c r="B601" s="2" t="s">
        <v>49</v>
      </c>
      <c r="C601" s="2">
        <v>12.0</v>
      </c>
      <c r="D601" s="2" t="s">
        <v>64</v>
      </c>
      <c r="E601" s="2" t="s">
        <v>63</v>
      </c>
      <c r="F601" s="2" t="s">
        <v>26</v>
      </c>
      <c r="G601" s="2" t="s">
        <v>41</v>
      </c>
      <c r="H601" s="2" t="s">
        <v>42</v>
      </c>
      <c r="I601" s="2" t="s">
        <v>30</v>
      </c>
      <c r="J601" s="2">
        <v>5918.0</v>
      </c>
      <c r="K601" s="2">
        <v>2541.0</v>
      </c>
      <c r="L601" s="2">
        <v>1387.0</v>
      </c>
      <c r="M601" s="2">
        <v>1303.0</v>
      </c>
      <c r="N601" s="2">
        <v>703.0</v>
      </c>
      <c r="O601" s="2">
        <v>878.0</v>
      </c>
      <c r="P601" s="2">
        <v>617.0</v>
      </c>
      <c r="Q601" s="2">
        <v>4.0</v>
      </c>
      <c r="R601" s="2">
        <v>4853.0</v>
      </c>
      <c r="S601" s="2">
        <v>3259.0</v>
      </c>
      <c r="T601" s="2">
        <v>1595.0</v>
      </c>
      <c r="U601" s="2">
        <v>3259.0</v>
      </c>
      <c r="V601" s="2">
        <v>0.0</v>
      </c>
      <c r="W601" s="2">
        <v>1595.0</v>
      </c>
    </row>
    <row r="602" ht="15.0" customHeight="1">
      <c r="A602" s="2">
        <v>2025.0</v>
      </c>
      <c r="B602" s="2" t="s">
        <v>49</v>
      </c>
      <c r="C602" s="2">
        <v>12.0</v>
      </c>
      <c r="D602" s="2" t="s">
        <v>64</v>
      </c>
      <c r="E602" s="2" t="s">
        <v>63</v>
      </c>
      <c r="F602" s="2" t="s">
        <v>26</v>
      </c>
      <c r="G602" s="2" t="s">
        <v>41</v>
      </c>
      <c r="H602" s="2" t="s">
        <v>42</v>
      </c>
      <c r="I602" s="2" t="s">
        <v>31</v>
      </c>
      <c r="J602" s="2">
        <v>10487.0</v>
      </c>
      <c r="K602" s="2">
        <v>5779.0</v>
      </c>
      <c r="L602" s="2">
        <v>4625.0</v>
      </c>
      <c r="M602" s="2">
        <v>4123.0</v>
      </c>
      <c r="N602" s="2">
        <v>2131.0</v>
      </c>
      <c r="O602" s="2">
        <v>2710.0</v>
      </c>
      <c r="P602" s="2">
        <v>1977.0</v>
      </c>
      <c r="Q602" s="2">
        <v>19.0</v>
      </c>
      <c r="R602" s="2">
        <v>15784.0</v>
      </c>
      <c r="S602" s="2">
        <v>584.0</v>
      </c>
      <c r="T602" s="2">
        <v>15201.0</v>
      </c>
      <c r="U602" s="2">
        <v>584.0</v>
      </c>
      <c r="V602" s="2">
        <v>0.0</v>
      </c>
      <c r="W602" s="2">
        <v>15201.0</v>
      </c>
    </row>
    <row r="603" ht="15.0" customHeight="1">
      <c r="A603" s="2">
        <v>2025.0</v>
      </c>
      <c r="B603" s="2" t="s">
        <v>49</v>
      </c>
      <c r="C603" s="2">
        <v>12.0</v>
      </c>
      <c r="D603" s="2" t="s">
        <v>64</v>
      </c>
      <c r="E603" s="2" t="s">
        <v>63</v>
      </c>
      <c r="F603" s="2" t="s">
        <v>26</v>
      </c>
      <c r="G603" s="2" t="s">
        <v>43</v>
      </c>
      <c r="H603" s="2" t="s">
        <v>42</v>
      </c>
      <c r="I603" s="2" t="s">
        <v>29</v>
      </c>
      <c r="J603" s="2">
        <v>2265.0</v>
      </c>
      <c r="K603" s="2">
        <v>867.0</v>
      </c>
      <c r="L603" s="2">
        <v>413.0</v>
      </c>
      <c r="M603" s="2">
        <v>389.0</v>
      </c>
      <c r="N603" s="2">
        <v>237.0</v>
      </c>
      <c r="O603" s="2">
        <v>474.0</v>
      </c>
      <c r="P603" s="2">
        <v>307.0</v>
      </c>
      <c r="Q603" s="2">
        <v>0.0</v>
      </c>
      <c r="R603" s="2">
        <v>10862.0</v>
      </c>
      <c r="S603" s="2">
        <v>4657.0</v>
      </c>
      <c r="T603" s="2">
        <v>6205.0</v>
      </c>
      <c r="U603" s="2">
        <v>4296.0</v>
      </c>
      <c r="V603" s="2">
        <v>362.0</v>
      </c>
      <c r="W603" s="2">
        <v>6567.0</v>
      </c>
    </row>
    <row r="604" ht="15.0" customHeight="1">
      <c r="A604" s="2">
        <v>2025.0</v>
      </c>
      <c r="B604" s="2" t="s">
        <v>49</v>
      </c>
      <c r="C604" s="2">
        <v>12.0</v>
      </c>
      <c r="D604" s="2" t="s">
        <v>64</v>
      </c>
      <c r="E604" s="2" t="s">
        <v>63</v>
      </c>
      <c r="F604" s="2" t="s">
        <v>26</v>
      </c>
      <c r="G604" s="2" t="s">
        <v>43</v>
      </c>
      <c r="H604" s="2" t="s">
        <v>42</v>
      </c>
      <c r="I604" s="2" t="s">
        <v>30</v>
      </c>
      <c r="J604" s="2">
        <v>377.0</v>
      </c>
      <c r="K604" s="2">
        <v>88.0</v>
      </c>
      <c r="L604" s="2">
        <v>28.0</v>
      </c>
      <c r="M604" s="2">
        <v>26.0</v>
      </c>
      <c r="N604" s="2">
        <v>19.0</v>
      </c>
      <c r="O604" s="2">
        <v>69.0</v>
      </c>
      <c r="P604" s="2">
        <v>50.0</v>
      </c>
      <c r="Q604" s="2">
        <v>0.0</v>
      </c>
      <c r="R604" s="2">
        <v>1985.0</v>
      </c>
      <c r="S604" s="2">
        <v>565.0</v>
      </c>
      <c r="T604" s="2">
        <v>1420.0</v>
      </c>
      <c r="U604" s="2">
        <v>565.0</v>
      </c>
      <c r="V604" s="2">
        <v>0.0</v>
      </c>
      <c r="W604" s="2">
        <v>1420.0</v>
      </c>
    </row>
    <row r="605" ht="15.0" customHeight="1">
      <c r="A605" s="2">
        <v>2025.0</v>
      </c>
      <c r="B605" s="2" t="s">
        <v>49</v>
      </c>
      <c r="C605" s="2">
        <v>12.0</v>
      </c>
      <c r="D605" s="2" t="s">
        <v>64</v>
      </c>
      <c r="E605" s="2" t="s">
        <v>63</v>
      </c>
      <c r="F605" s="2" t="s">
        <v>26</v>
      </c>
      <c r="G605" s="2" t="s">
        <v>43</v>
      </c>
      <c r="H605" s="2" t="s">
        <v>42</v>
      </c>
      <c r="I605" s="2" t="s">
        <v>31</v>
      </c>
      <c r="J605" s="2">
        <v>216.0</v>
      </c>
      <c r="K605" s="2">
        <v>131.0</v>
      </c>
      <c r="L605" s="2">
        <v>124.0</v>
      </c>
      <c r="M605" s="2">
        <v>97.0</v>
      </c>
      <c r="N605" s="2">
        <v>45.0</v>
      </c>
      <c r="O605" s="2">
        <v>85.0</v>
      </c>
      <c r="P605" s="2">
        <v>62.0</v>
      </c>
      <c r="Q605" s="2">
        <v>0.0</v>
      </c>
      <c r="R605" s="2">
        <v>2501.0</v>
      </c>
      <c r="S605" s="2">
        <v>25.0</v>
      </c>
      <c r="T605" s="2">
        <v>2476.0</v>
      </c>
      <c r="U605" s="2">
        <v>25.0</v>
      </c>
      <c r="V605" s="2">
        <v>0.0</v>
      </c>
      <c r="W605" s="2">
        <v>2476.0</v>
      </c>
    </row>
    <row r="606" ht="15.0" customHeight="1">
      <c r="A606" s="2">
        <v>2025.0</v>
      </c>
      <c r="B606" s="2" t="s">
        <v>49</v>
      </c>
      <c r="C606" s="2">
        <v>12.0</v>
      </c>
      <c r="D606" s="2" t="s">
        <v>64</v>
      </c>
      <c r="E606" s="2" t="s">
        <v>63</v>
      </c>
      <c r="F606" s="2" t="s">
        <v>26</v>
      </c>
      <c r="G606" s="2" t="s">
        <v>44</v>
      </c>
      <c r="H606" s="2" t="s">
        <v>45</v>
      </c>
      <c r="I606" s="2" t="s">
        <v>29</v>
      </c>
      <c r="J606" s="2">
        <v>4687.0</v>
      </c>
      <c r="K606" s="2">
        <v>2333.0</v>
      </c>
      <c r="L606" s="2">
        <v>692.0</v>
      </c>
      <c r="M606" s="2">
        <v>646.0</v>
      </c>
      <c r="N606" s="2">
        <v>564.0</v>
      </c>
      <c r="O606" s="2">
        <v>1072.0</v>
      </c>
      <c r="P606" s="2">
        <v>774.0</v>
      </c>
      <c r="Q606" s="2">
        <v>401.0</v>
      </c>
      <c r="R606" s="2">
        <v>27928.0</v>
      </c>
      <c r="S606" s="2">
        <v>20059.0</v>
      </c>
      <c r="T606" s="2">
        <v>7869.0</v>
      </c>
      <c r="U606" s="2">
        <v>19164.0</v>
      </c>
      <c r="V606" s="2">
        <v>895.0</v>
      </c>
      <c r="W606" s="2">
        <v>8764.0</v>
      </c>
    </row>
    <row r="607" ht="15.0" customHeight="1">
      <c r="A607" s="2">
        <v>2025.0</v>
      </c>
      <c r="B607" s="2" t="s">
        <v>49</v>
      </c>
      <c r="C607" s="2">
        <v>12.0</v>
      </c>
      <c r="D607" s="2" t="s">
        <v>64</v>
      </c>
      <c r="E607" s="2" t="s">
        <v>63</v>
      </c>
      <c r="F607" s="2" t="s">
        <v>26</v>
      </c>
      <c r="G607" s="2" t="s">
        <v>44</v>
      </c>
      <c r="H607" s="2" t="s">
        <v>45</v>
      </c>
      <c r="I607" s="2" t="s">
        <v>30</v>
      </c>
      <c r="J607" s="2">
        <v>1435.0</v>
      </c>
      <c r="K607" s="2">
        <v>656.0</v>
      </c>
      <c r="L607" s="2">
        <v>162.0</v>
      </c>
      <c r="M607" s="2">
        <v>155.0</v>
      </c>
      <c r="N607" s="2">
        <v>126.0</v>
      </c>
      <c r="O607" s="2">
        <v>234.0</v>
      </c>
      <c r="P607" s="2">
        <v>179.0</v>
      </c>
      <c r="Q607" s="2">
        <v>86.0</v>
      </c>
      <c r="R607" s="2">
        <v>5908.0</v>
      </c>
      <c r="S607" s="2">
        <v>2771.0</v>
      </c>
      <c r="T607" s="2">
        <v>3138.0</v>
      </c>
      <c r="U607" s="2">
        <v>2771.0</v>
      </c>
      <c r="V607" s="2">
        <v>0.0</v>
      </c>
      <c r="W607" s="2">
        <v>3138.0</v>
      </c>
    </row>
    <row r="608" ht="15.0" customHeight="1">
      <c r="A608" s="2">
        <v>2025.0</v>
      </c>
      <c r="B608" s="2" t="s">
        <v>49</v>
      </c>
      <c r="C608" s="2">
        <v>12.0</v>
      </c>
      <c r="D608" s="2" t="s">
        <v>64</v>
      </c>
      <c r="E608" s="2" t="s">
        <v>63</v>
      </c>
      <c r="F608" s="2" t="s">
        <v>26</v>
      </c>
      <c r="G608" s="2" t="s">
        <v>44</v>
      </c>
      <c r="H608" s="2" t="s">
        <v>45</v>
      </c>
      <c r="I608" s="2" t="s">
        <v>31</v>
      </c>
      <c r="J608" s="2">
        <v>864.0</v>
      </c>
      <c r="K608" s="2">
        <v>532.0</v>
      </c>
      <c r="L608" s="2">
        <v>173.0</v>
      </c>
      <c r="M608" s="2">
        <v>140.0</v>
      </c>
      <c r="N608" s="2">
        <v>115.0</v>
      </c>
      <c r="O608" s="2">
        <v>212.0</v>
      </c>
      <c r="P608" s="2">
        <v>153.0</v>
      </c>
      <c r="Q608" s="2">
        <v>76.0</v>
      </c>
      <c r="R608" s="2">
        <v>5375.0</v>
      </c>
      <c r="S608" s="2">
        <v>107.0</v>
      </c>
      <c r="T608" s="2">
        <v>5267.0</v>
      </c>
      <c r="U608" s="2">
        <v>107.0</v>
      </c>
      <c r="V608" s="2">
        <v>0.0</v>
      </c>
      <c r="W608" s="2">
        <v>5267.0</v>
      </c>
    </row>
    <row r="609" ht="15.0" customHeight="1">
      <c r="A609" s="2">
        <v>2025.0</v>
      </c>
      <c r="B609" s="2" t="s">
        <v>49</v>
      </c>
      <c r="C609" s="2">
        <v>12.0</v>
      </c>
      <c r="D609" s="2" t="s">
        <v>64</v>
      </c>
      <c r="E609" s="2" t="s">
        <v>63</v>
      </c>
      <c r="F609" s="2" t="s">
        <v>26</v>
      </c>
      <c r="G609" s="2" t="s">
        <v>46</v>
      </c>
      <c r="H609" s="2" t="s">
        <v>47</v>
      </c>
      <c r="I609" s="2" t="s">
        <v>29</v>
      </c>
      <c r="J609" s="2">
        <v>3091.0</v>
      </c>
      <c r="K609" s="2">
        <v>1446.0</v>
      </c>
      <c r="L609" s="2">
        <v>538.0</v>
      </c>
      <c r="M609" s="2">
        <v>503.0</v>
      </c>
      <c r="N609" s="2">
        <v>493.0</v>
      </c>
      <c r="O609" s="2">
        <v>1622.0</v>
      </c>
      <c r="P609" s="2">
        <v>379.0</v>
      </c>
      <c r="Q609" s="2">
        <v>44.0</v>
      </c>
      <c r="R609" s="2">
        <v>13463.0</v>
      </c>
      <c r="S609" s="2">
        <v>13227.0</v>
      </c>
      <c r="T609" s="2">
        <v>236.0</v>
      </c>
      <c r="U609" s="2">
        <v>13199.0</v>
      </c>
      <c r="V609" s="2">
        <v>28.0</v>
      </c>
      <c r="W609" s="2">
        <v>264.0</v>
      </c>
    </row>
    <row r="610" ht="15.0" customHeight="1">
      <c r="A610" s="2">
        <v>2025.0</v>
      </c>
      <c r="B610" s="2" t="s">
        <v>49</v>
      </c>
      <c r="C610" s="2">
        <v>12.0</v>
      </c>
      <c r="D610" s="2" t="s">
        <v>64</v>
      </c>
      <c r="E610" s="2" t="s">
        <v>63</v>
      </c>
      <c r="F610" s="2" t="s">
        <v>26</v>
      </c>
      <c r="G610" s="2" t="s">
        <v>46</v>
      </c>
      <c r="H610" s="2" t="s">
        <v>47</v>
      </c>
      <c r="I610" s="2" t="s">
        <v>30</v>
      </c>
      <c r="J610" s="2">
        <v>704.0</v>
      </c>
      <c r="K610" s="2">
        <v>235.0</v>
      </c>
      <c r="L610" s="2">
        <v>109.0</v>
      </c>
      <c r="M610" s="2">
        <v>101.0</v>
      </c>
      <c r="N610" s="2">
        <v>98.0</v>
      </c>
      <c r="O610" s="2">
        <v>362.0</v>
      </c>
      <c r="P610" s="2">
        <v>89.0</v>
      </c>
      <c r="Q610" s="2">
        <v>11.0</v>
      </c>
      <c r="R610" s="2">
        <v>3579.0</v>
      </c>
      <c r="S610" s="2">
        <v>1846.0</v>
      </c>
      <c r="T610" s="2">
        <v>1733.0</v>
      </c>
      <c r="U610" s="2">
        <v>1846.0</v>
      </c>
      <c r="V610" s="2">
        <v>0.0</v>
      </c>
      <c r="W610" s="2">
        <v>1733.0</v>
      </c>
    </row>
    <row r="611" ht="15.0" customHeight="1">
      <c r="A611" s="2">
        <v>2025.0</v>
      </c>
      <c r="B611" s="2" t="s">
        <v>49</v>
      </c>
      <c r="C611" s="2">
        <v>12.0</v>
      </c>
      <c r="D611" s="2" t="s">
        <v>64</v>
      </c>
      <c r="E611" s="2" t="s">
        <v>63</v>
      </c>
      <c r="F611" s="2" t="s">
        <v>26</v>
      </c>
      <c r="G611" s="2" t="s">
        <v>46</v>
      </c>
      <c r="H611" s="2" t="s">
        <v>47</v>
      </c>
      <c r="I611" s="2" t="s">
        <v>31</v>
      </c>
      <c r="J611" s="2">
        <v>1364.0</v>
      </c>
      <c r="K611" s="2">
        <v>703.0</v>
      </c>
      <c r="L611" s="2">
        <v>160.0</v>
      </c>
      <c r="M611" s="2">
        <v>98.0</v>
      </c>
      <c r="N611" s="2">
        <v>95.0</v>
      </c>
      <c r="O611" s="2">
        <v>343.0</v>
      </c>
      <c r="P611" s="2">
        <v>87.0</v>
      </c>
      <c r="Q611" s="2">
        <v>10.0</v>
      </c>
      <c r="R611" s="2">
        <v>3315.0</v>
      </c>
      <c r="S611" s="2">
        <v>150.0</v>
      </c>
      <c r="T611" s="2">
        <v>3165.0</v>
      </c>
      <c r="U611" s="2">
        <v>150.0</v>
      </c>
      <c r="V611" s="2">
        <v>0.0</v>
      </c>
      <c r="W611" s="2">
        <v>3165.0</v>
      </c>
    </row>
    <row r="612" ht="15.0" customHeight="1">
      <c r="A612" s="2">
        <v>2025.0</v>
      </c>
      <c r="B612" s="2" t="s">
        <v>49</v>
      </c>
      <c r="C612" s="2">
        <v>12.0</v>
      </c>
      <c r="D612" s="2" t="s">
        <v>64</v>
      </c>
      <c r="E612" s="2" t="s">
        <v>63</v>
      </c>
      <c r="F612" s="2" t="s">
        <v>48</v>
      </c>
      <c r="G612" s="2" t="s">
        <v>27</v>
      </c>
      <c r="H612" s="2" t="s">
        <v>28</v>
      </c>
      <c r="I612" s="2" t="s">
        <v>29</v>
      </c>
      <c r="J612" s="2">
        <v>1487.0</v>
      </c>
      <c r="K612" s="2">
        <v>768.0</v>
      </c>
      <c r="L612" s="2">
        <v>288.0</v>
      </c>
      <c r="M612" s="2">
        <v>269.0</v>
      </c>
      <c r="N612" s="2">
        <v>161.0</v>
      </c>
      <c r="O612" s="2">
        <v>265.0</v>
      </c>
      <c r="P612" s="2">
        <v>171.0</v>
      </c>
      <c r="Q612" s="2">
        <v>0.0</v>
      </c>
      <c r="R612" s="2">
        <v>5346.0</v>
      </c>
      <c r="S612" s="2">
        <v>3586.0</v>
      </c>
      <c r="T612" s="2">
        <v>1760.0</v>
      </c>
      <c r="U612" s="2">
        <v>3378.0</v>
      </c>
      <c r="V612" s="2">
        <v>208.0</v>
      </c>
      <c r="W612" s="2">
        <v>1968.0</v>
      </c>
    </row>
    <row r="613" ht="15.0" customHeight="1">
      <c r="A613" s="2">
        <v>2025.0</v>
      </c>
      <c r="B613" s="2" t="s">
        <v>49</v>
      </c>
      <c r="C613" s="2">
        <v>12.0</v>
      </c>
      <c r="D613" s="2" t="s">
        <v>64</v>
      </c>
      <c r="E613" s="2" t="s">
        <v>63</v>
      </c>
      <c r="F613" s="2" t="s">
        <v>48</v>
      </c>
      <c r="G613" s="2" t="s">
        <v>27</v>
      </c>
      <c r="H613" s="2" t="s">
        <v>28</v>
      </c>
      <c r="I613" s="2" t="s">
        <v>30</v>
      </c>
      <c r="J613" s="2">
        <v>3834.0</v>
      </c>
      <c r="K613" s="2">
        <v>1222.0</v>
      </c>
      <c r="L613" s="2">
        <v>646.0</v>
      </c>
      <c r="M613" s="2">
        <v>613.0</v>
      </c>
      <c r="N613" s="2">
        <v>405.0</v>
      </c>
      <c r="O613" s="2">
        <v>662.0</v>
      </c>
      <c r="P613" s="2">
        <v>404.0</v>
      </c>
      <c r="Q613" s="2">
        <v>0.0</v>
      </c>
      <c r="R613" s="2">
        <v>13249.0</v>
      </c>
      <c r="S613" s="2">
        <v>6974.0</v>
      </c>
      <c r="T613" s="2">
        <v>6275.0</v>
      </c>
      <c r="U613" s="2">
        <v>6974.0</v>
      </c>
      <c r="V613" s="2">
        <v>0.0</v>
      </c>
      <c r="W613" s="2">
        <v>6275.0</v>
      </c>
    </row>
    <row r="614" ht="15.0" customHeight="1">
      <c r="A614" s="2">
        <v>2025.0</v>
      </c>
      <c r="B614" s="2" t="s">
        <v>49</v>
      </c>
      <c r="C614" s="2">
        <v>12.0</v>
      </c>
      <c r="D614" s="2" t="s">
        <v>64</v>
      </c>
      <c r="E614" s="2" t="s">
        <v>63</v>
      </c>
      <c r="F614" s="2" t="s">
        <v>48</v>
      </c>
      <c r="G614" s="2" t="s">
        <v>27</v>
      </c>
      <c r="H614" s="2" t="s">
        <v>28</v>
      </c>
      <c r="I614" s="2" t="s">
        <v>31</v>
      </c>
      <c r="J614" s="2">
        <v>704.0</v>
      </c>
      <c r="K614" s="2">
        <v>283.0</v>
      </c>
      <c r="L614" s="2">
        <v>232.0</v>
      </c>
      <c r="M614" s="2">
        <v>203.0</v>
      </c>
      <c r="N614" s="2">
        <v>115.0</v>
      </c>
      <c r="O614" s="2">
        <v>215.0</v>
      </c>
      <c r="P614" s="2">
        <v>130.0</v>
      </c>
      <c r="Q614" s="2">
        <v>0.0</v>
      </c>
      <c r="R614" s="2">
        <v>4434.0</v>
      </c>
      <c r="S614" s="2">
        <v>225.0</v>
      </c>
      <c r="T614" s="2">
        <v>4209.0</v>
      </c>
      <c r="U614" s="2">
        <v>225.0</v>
      </c>
      <c r="V614" s="2">
        <v>0.0</v>
      </c>
      <c r="W614" s="2">
        <v>4209.0</v>
      </c>
    </row>
    <row r="615" ht="15.0" customHeight="1">
      <c r="A615" s="2">
        <v>2025.0</v>
      </c>
      <c r="B615" s="2" t="s">
        <v>49</v>
      </c>
      <c r="C615" s="2">
        <v>12.0</v>
      </c>
      <c r="D615" s="2" t="s">
        <v>64</v>
      </c>
      <c r="E615" s="2" t="s">
        <v>63</v>
      </c>
      <c r="F615" s="2" t="s">
        <v>48</v>
      </c>
      <c r="G615" s="2" t="s">
        <v>32</v>
      </c>
      <c r="H615" s="2" t="s">
        <v>28</v>
      </c>
      <c r="I615" s="2" t="s">
        <v>29</v>
      </c>
      <c r="J615" s="2">
        <v>219.0</v>
      </c>
      <c r="K615" s="2">
        <v>100.0</v>
      </c>
      <c r="L615" s="2">
        <v>43.0</v>
      </c>
      <c r="M615" s="2">
        <v>34.0</v>
      </c>
      <c r="N615" s="2">
        <v>12.0</v>
      </c>
      <c r="O615" s="2">
        <v>25.0</v>
      </c>
      <c r="P615" s="2">
        <v>22.0</v>
      </c>
      <c r="Q615" s="2">
        <v>0.0</v>
      </c>
      <c r="R615" s="2">
        <v>344.0</v>
      </c>
      <c r="S615" s="2">
        <v>213.0</v>
      </c>
      <c r="T615" s="2">
        <v>131.0</v>
      </c>
      <c r="U615" s="2">
        <v>213.0</v>
      </c>
      <c r="V615" s="2">
        <v>0.0</v>
      </c>
      <c r="W615" s="2">
        <v>131.0</v>
      </c>
    </row>
    <row r="616" ht="15.0" customHeight="1">
      <c r="A616" s="2">
        <v>2025.0</v>
      </c>
      <c r="B616" s="2" t="s">
        <v>49</v>
      </c>
      <c r="C616" s="2">
        <v>12.0</v>
      </c>
      <c r="D616" s="2" t="s">
        <v>64</v>
      </c>
      <c r="E616" s="2" t="s">
        <v>63</v>
      </c>
      <c r="F616" s="2" t="s">
        <v>48</v>
      </c>
      <c r="G616" s="2" t="s">
        <v>32</v>
      </c>
      <c r="H616" s="2" t="s">
        <v>28</v>
      </c>
      <c r="I616" s="2" t="s">
        <v>30</v>
      </c>
      <c r="J616" s="2">
        <v>188.0</v>
      </c>
      <c r="K616" s="2">
        <v>51.0</v>
      </c>
      <c r="L616" s="2">
        <v>28.0</v>
      </c>
      <c r="M616" s="2">
        <v>24.0</v>
      </c>
      <c r="N616" s="2">
        <v>7.0</v>
      </c>
      <c r="O616" s="2">
        <v>12.0</v>
      </c>
      <c r="P616" s="2">
        <v>9.0</v>
      </c>
      <c r="Q616" s="2">
        <v>0.0</v>
      </c>
      <c r="R616" s="2">
        <v>136.0</v>
      </c>
      <c r="S616" s="2">
        <v>159.0</v>
      </c>
      <c r="T616" s="2">
        <v>-23.0</v>
      </c>
      <c r="U616" s="2">
        <v>159.0</v>
      </c>
      <c r="V616" s="2">
        <v>0.0</v>
      </c>
      <c r="W616" s="2">
        <v>-23.0</v>
      </c>
    </row>
    <row r="617" ht="15.0" customHeight="1">
      <c r="A617" s="2">
        <v>2025.0</v>
      </c>
      <c r="B617" s="2" t="s">
        <v>49</v>
      </c>
      <c r="C617" s="2">
        <v>12.0</v>
      </c>
      <c r="D617" s="2" t="s">
        <v>64</v>
      </c>
      <c r="E617" s="2" t="s">
        <v>63</v>
      </c>
      <c r="F617" s="2" t="s">
        <v>48</v>
      </c>
      <c r="G617" s="2" t="s">
        <v>32</v>
      </c>
      <c r="H617" s="2" t="s">
        <v>28</v>
      </c>
      <c r="I617" s="2" t="s">
        <v>31</v>
      </c>
      <c r="J617" s="2">
        <v>417.0</v>
      </c>
      <c r="K617" s="2">
        <v>171.0</v>
      </c>
      <c r="L617" s="2">
        <v>114.0</v>
      </c>
      <c r="M617" s="2">
        <v>103.0</v>
      </c>
      <c r="N617" s="2">
        <v>35.0</v>
      </c>
      <c r="O617" s="2">
        <v>46.0</v>
      </c>
      <c r="P617" s="2">
        <v>31.0</v>
      </c>
      <c r="Q617" s="2">
        <v>0.0</v>
      </c>
      <c r="R617" s="2">
        <v>466.0</v>
      </c>
      <c r="S617" s="2">
        <v>0.0</v>
      </c>
      <c r="T617" s="2">
        <v>466.0</v>
      </c>
      <c r="U617" s="2">
        <v>0.0</v>
      </c>
      <c r="V617" s="2">
        <v>0.0</v>
      </c>
      <c r="W617" s="2">
        <v>466.0</v>
      </c>
    </row>
    <row r="618" ht="15.0" customHeight="1">
      <c r="A618" s="2">
        <v>2025.0</v>
      </c>
      <c r="B618" s="2" t="s">
        <v>49</v>
      </c>
      <c r="C618" s="2">
        <v>12.0</v>
      </c>
      <c r="D618" s="2" t="s">
        <v>64</v>
      </c>
      <c r="E618" s="2" t="s">
        <v>63</v>
      </c>
      <c r="F618" s="2" t="s">
        <v>48</v>
      </c>
      <c r="G618" s="2" t="s">
        <v>33</v>
      </c>
      <c r="H618" s="2" t="s">
        <v>28</v>
      </c>
      <c r="I618" s="2" t="s">
        <v>29</v>
      </c>
      <c r="J618" s="2">
        <v>197.0</v>
      </c>
      <c r="K618" s="2">
        <v>110.0</v>
      </c>
      <c r="L618" s="2">
        <v>55.0</v>
      </c>
      <c r="M618" s="2">
        <v>51.0</v>
      </c>
      <c r="N618" s="2">
        <v>14.0</v>
      </c>
      <c r="O618" s="2">
        <v>16.0</v>
      </c>
      <c r="P618" s="2">
        <v>6.0</v>
      </c>
      <c r="Q618" s="2">
        <v>0.0</v>
      </c>
      <c r="R618" s="2">
        <v>181.0</v>
      </c>
      <c r="S618" s="2">
        <v>455.0</v>
      </c>
      <c r="T618" s="2">
        <v>-274.0</v>
      </c>
      <c r="U618" s="2">
        <v>396.0</v>
      </c>
      <c r="V618" s="2">
        <v>59.0</v>
      </c>
      <c r="W618" s="2">
        <v>-214.0</v>
      </c>
    </row>
    <row r="619" ht="15.0" customHeight="1">
      <c r="A619" s="2">
        <v>2025.0</v>
      </c>
      <c r="B619" s="2" t="s">
        <v>49</v>
      </c>
      <c r="C619" s="2">
        <v>12.0</v>
      </c>
      <c r="D619" s="2" t="s">
        <v>64</v>
      </c>
      <c r="E619" s="2" t="s">
        <v>63</v>
      </c>
      <c r="F619" s="2" t="s">
        <v>48</v>
      </c>
      <c r="G619" s="2" t="s">
        <v>33</v>
      </c>
      <c r="H619" s="2" t="s">
        <v>28</v>
      </c>
      <c r="I619" s="2" t="s">
        <v>30</v>
      </c>
      <c r="J619" s="2">
        <v>331.0</v>
      </c>
      <c r="K619" s="2">
        <v>143.0</v>
      </c>
      <c r="L619" s="2">
        <v>53.0</v>
      </c>
      <c r="M619" s="2">
        <v>51.0</v>
      </c>
      <c r="N619" s="2">
        <v>7.0</v>
      </c>
      <c r="O619" s="2">
        <v>7.0</v>
      </c>
      <c r="P619" s="2">
        <v>5.0</v>
      </c>
      <c r="Q619" s="2">
        <v>0.0</v>
      </c>
      <c r="R619" s="2">
        <v>77.0</v>
      </c>
      <c r="S619" s="2">
        <v>289.0</v>
      </c>
      <c r="T619" s="2">
        <v>-212.0</v>
      </c>
      <c r="U619" s="2">
        <v>289.0</v>
      </c>
      <c r="V619" s="2">
        <v>0.0</v>
      </c>
      <c r="W619" s="2">
        <v>-212.0</v>
      </c>
    </row>
    <row r="620" ht="15.0" customHeight="1">
      <c r="A620" s="2">
        <v>2025.0</v>
      </c>
      <c r="B620" s="2" t="s">
        <v>49</v>
      </c>
      <c r="C620" s="2">
        <v>12.0</v>
      </c>
      <c r="D620" s="2" t="s">
        <v>64</v>
      </c>
      <c r="E620" s="2" t="s">
        <v>63</v>
      </c>
      <c r="F620" s="2" t="s">
        <v>48</v>
      </c>
      <c r="G620" s="2" t="s">
        <v>33</v>
      </c>
      <c r="H620" s="2" t="s">
        <v>28</v>
      </c>
      <c r="I620" s="2" t="s">
        <v>31</v>
      </c>
      <c r="J620" s="2">
        <v>41.0</v>
      </c>
      <c r="K620" s="2">
        <v>14.0</v>
      </c>
      <c r="L620" s="2">
        <v>9.0</v>
      </c>
      <c r="M620" s="2">
        <v>6.0</v>
      </c>
      <c r="N620" s="2">
        <v>2.0</v>
      </c>
      <c r="O620" s="2">
        <v>2.0</v>
      </c>
      <c r="P620" s="2">
        <v>0.0</v>
      </c>
      <c r="Q620" s="2">
        <v>0.0</v>
      </c>
      <c r="R620" s="2">
        <v>0.0</v>
      </c>
      <c r="S620" s="2">
        <v>0.0</v>
      </c>
      <c r="T620" s="2">
        <v>0.0</v>
      </c>
      <c r="U620" s="2">
        <v>0.0</v>
      </c>
      <c r="V620" s="2">
        <v>0.0</v>
      </c>
      <c r="W620" s="2">
        <v>0.0</v>
      </c>
    </row>
    <row r="621" ht="15.0" customHeight="1">
      <c r="A621" s="2">
        <v>2025.0</v>
      </c>
      <c r="B621" s="2" t="s">
        <v>49</v>
      </c>
      <c r="C621" s="2">
        <v>12.0</v>
      </c>
      <c r="D621" s="2" t="s">
        <v>64</v>
      </c>
      <c r="E621" s="2" t="s">
        <v>63</v>
      </c>
      <c r="F621" s="2" t="s">
        <v>48</v>
      </c>
      <c r="G621" s="2" t="s">
        <v>34</v>
      </c>
      <c r="H621" s="2" t="s">
        <v>35</v>
      </c>
      <c r="I621" s="2" t="s">
        <v>29</v>
      </c>
      <c r="J621" s="2">
        <v>23480.0</v>
      </c>
      <c r="K621" s="2">
        <v>14473.0</v>
      </c>
      <c r="L621" s="2">
        <v>5914.0</v>
      </c>
      <c r="M621" s="2">
        <v>5618.0</v>
      </c>
      <c r="N621" s="2">
        <v>2566.0</v>
      </c>
      <c r="O621" s="2">
        <v>3529.0</v>
      </c>
      <c r="P621" s="2">
        <v>2691.0</v>
      </c>
      <c r="Q621" s="2">
        <v>0.0</v>
      </c>
      <c r="R621" s="2">
        <v>37536.0</v>
      </c>
      <c r="S621" s="2">
        <v>26101.0</v>
      </c>
      <c r="T621" s="2">
        <v>11435.0</v>
      </c>
      <c r="U621" s="2">
        <v>22710.0</v>
      </c>
      <c r="V621" s="2">
        <v>3391.0</v>
      </c>
      <c r="W621" s="2">
        <v>14826.0</v>
      </c>
    </row>
    <row r="622" ht="15.0" customHeight="1">
      <c r="A622" s="2">
        <v>2025.0</v>
      </c>
      <c r="B622" s="2" t="s">
        <v>49</v>
      </c>
      <c r="C622" s="2">
        <v>12.0</v>
      </c>
      <c r="D622" s="2" t="s">
        <v>64</v>
      </c>
      <c r="E622" s="2" t="s">
        <v>63</v>
      </c>
      <c r="F622" s="2" t="s">
        <v>48</v>
      </c>
      <c r="G622" s="2" t="s">
        <v>34</v>
      </c>
      <c r="H622" s="2" t="s">
        <v>35</v>
      </c>
      <c r="I622" s="2" t="s">
        <v>30</v>
      </c>
      <c r="J622" s="2">
        <v>15720.0</v>
      </c>
      <c r="K622" s="2">
        <v>7448.0</v>
      </c>
      <c r="L622" s="2">
        <v>2653.0</v>
      </c>
      <c r="M622" s="2">
        <v>2525.0</v>
      </c>
      <c r="N622" s="2">
        <v>1127.0</v>
      </c>
      <c r="O622" s="2">
        <v>1590.0</v>
      </c>
      <c r="P622" s="2">
        <v>1189.0</v>
      </c>
      <c r="Q622" s="2">
        <v>0.0</v>
      </c>
      <c r="R622" s="2">
        <v>16565.0</v>
      </c>
      <c r="S622" s="2">
        <v>9925.0</v>
      </c>
      <c r="T622" s="2">
        <v>6639.0</v>
      </c>
      <c r="U622" s="2">
        <v>9925.0</v>
      </c>
      <c r="V622" s="2">
        <v>0.0</v>
      </c>
      <c r="W622" s="2">
        <v>6639.0</v>
      </c>
    </row>
    <row r="623" ht="15.0" customHeight="1">
      <c r="A623" s="2">
        <v>2025.0</v>
      </c>
      <c r="B623" s="2" t="s">
        <v>49</v>
      </c>
      <c r="C623" s="2">
        <v>12.0</v>
      </c>
      <c r="D623" s="2" t="s">
        <v>64</v>
      </c>
      <c r="E623" s="2" t="s">
        <v>63</v>
      </c>
      <c r="F623" s="2" t="s">
        <v>48</v>
      </c>
      <c r="G623" s="2" t="s">
        <v>34</v>
      </c>
      <c r="H623" s="2" t="s">
        <v>35</v>
      </c>
      <c r="I623" s="2" t="s">
        <v>31</v>
      </c>
      <c r="J623" s="2">
        <v>899.0</v>
      </c>
      <c r="K623" s="2">
        <v>427.0</v>
      </c>
      <c r="L623" s="2">
        <v>359.0</v>
      </c>
      <c r="M623" s="2">
        <v>289.0</v>
      </c>
      <c r="N623" s="2">
        <v>133.0</v>
      </c>
      <c r="O623" s="2">
        <v>205.0</v>
      </c>
      <c r="P623" s="2">
        <v>160.0</v>
      </c>
      <c r="Q623" s="2">
        <v>0.0</v>
      </c>
      <c r="R623" s="2">
        <v>2538.0</v>
      </c>
      <c r="S623" s="2">
        <v>0.0</v>
      </c>
      <c r="T623" s="2">
        <v>2538.0</v>
      </c>
      <c r="U623" s="2">
        <v>0.0</v>
      </c>
      <c r="V623" s="2">
        <v>0.0</v>
      </c>
      <c r="W623" s="2">
        <v>2538.0</v>
      </c>
    </row>
    <row r="624" ht="15.0" customHeight="1">
      <c r="A624" s="2">
        <v>2025.0</v>
      </c>
      <c r="B624" s="2" t="s">
        <v>49</v>
      </c>
      <c r="C624" s="2">
        <v>12.0</v>
      </c>
      <c r="D624" s="2" t="s">
        <v>64</v>
      </c>
      <c r="E624" s="2" t="s">
        <v>63</v>
      </c>
      <c r="F624" s="2" t="s">
        <v>48</v>
      </c>
      <c r="G624" s="2" t="s">
        <v>36</v>
      </c>
      <c r="H624" s="2" t="s">
        <v>35</v>
      </c>
      <c r="I624" s="2" t="s">
        <v>29</v>
      </c>
      <c r="J624" s="2">
        <v>7904.0</v>
      </c>
      <c r="K624" s="2">
        <v>4468.0</v>
      </c>
      <c r="L624" s="2">
        <v>2159.0</v>
      </c>
      <c r="M624" s="2">
        <v>2074.0</v>
      </c>
      <c r="N624" s="2">
        <v>1645.0</v>
      </c>
      <c r="O624" s="2">
        <v>3114.0</v>
      </c>
      <c r="P624" s="2">
        <v>2374.0</v>
      </c>
      <c r="Q624" s="2">
        <v>0.0</v>
      </c>
      <c r="R624" s="2">
        <v>34726.0</v>
      </c>
      <c r="S624" s="2">
        <v>16884.0</v>
      </c>
      <c r="T624" s="2">
        <v>17842.0</v>
      </c>
      <c r="U624" s="2">
        <v>14595.0</v>
      </c>
      <c r="V624" s="2">
        <v>2289.0</v>
      </c>
      <c r="W624" s="2">
        <v>20130.0</v>
      </c>
    </row>
    <row r="625" ht="15.0" customHeight="1">
      <c r="A625" s="2">
        <v>2025.0</v>
      </c>
      <c r="B625" s="2" t="s">
        <v>49</v>
      </c>
      <c r="C625" s="2">
        <v>12.0</v>
      </c>
      <c r="D625" s="2" t="s">
        <v>64</v>
      </c>
      <c r="E625" s="2" t="s">
        <v>63</v>
      </c>
      <c r="F625" s="2" t="s">
        <v>48</v>
      </c>
      <c r="G625" s="2" t="s">
        <v>36</v>
      </c>
      <c r="H625" s="2" t="s">
        <v>35</v>
      </c>
      <c r="I625" s="2" t="s">
        <v>30</v>
      </c>
      <c r="J625" s="2">
        <v>7564.0</v>
      </c>
      <c r="K625" s="2">
        <v>1750.0</v>
      </c>
      <c r="L625" s="2">
        <v>1103.0</v>
      </c>
      <c r="M625" s="2">
        <v>1053.0</v>
      </c>
      <c r="N625" s="2">
        <v>771.0</v>
      </c>
      <c r="O625" s="2">
        <v>1385.0</v>
      </c>
      <c r="P625" s="2">
        <v>1008.0</v>
      </c>
      <c r="Q625" s="2">
        <v>0.0</v>
      </c>
      <c r="R625" s="2">
        <v>14312.0</v>
      </c>
      <c r="S625" s="2">
        <v>9063.0</v>
      </c>
      <c r="T625" s="2">
        <v>5249.0</v>
      </c>
      <c r="U625" s="2">
        <v>9063.0</v>
      </c>
      <c r="V625" s="2">
        <v>0.0</v>
      </c>
      <c r="W625" s="2">
        <v>5249.0</v>
      </c>
    </row>
    <row r="626" ht="15.0" customHeight="1">
      <c r="A626" s="2">
        <v>2025.0</v>
      </c>
      <c r="B626" s="2" t="s">
        <v>49</v>
      </c>
      <c r="C626" s="2">
        <v>12.0</v>
      </c>
      <c r="D626" s="2" t="s">
        <v>64</v>
      </c>
      <c r="E626" s="2" t="s">
        <v>63</v>
      </c>
      <c r="F626" s="2" t="s">
        <v>48</v>
      </c>
      <c r="G626" s="2" t="s">
        <v>36</v>
      </c>
      <c r="H626" s="2" t="s">
        <v>35</v>
      </c>
      <c r="I626" s="2" t="s">
        <v>31</v>
      </c>
      <c r="J626" s="2">
        <v>1010.0</v>
      </c>
      <c r="K626" s="2">
        <v>480.0</v>
      </c>
      <c r="L626" s="2">
        <v>334.0</v>
      </c>
      <c r="M626" s="2">
        <v>305.0</v>
      </c>
      <c r="N626" s="2">
        <v>231.0</v>
      </c>
      <c r="O626" s="2">
        <v>461.0</v>
      </c>
      <c r="P626" s="2">
        <v>340.0</v>
      </c>
      <c r="Q626" s="2">
        <v>0.0</v>
      </c>
      <c r="R626" s="2">
        <v>4850.0</v>
      </c>
      <c r="S626" s="2">
        <v>0.0</v>
      </c>
      <c r="T626" s="2">
        <v>4850.0</v>
      </c>
      <c r="U626" s="2">
        <v>0.0</v>
      </c>
      <c r="V626" s="2">
        <v>0.0</v>
      </c>
      <c r="W626" s="2">
        <v>4850.0</v>
      </c>
    </row>
    <row r="627" ht="15.0" customHeight="1">
      <c r="A627" s="2">
        <v>2025.0</v>
      </c>
      <c r="B627" s="2" t="s">
        <v>49</v>
      </c>
      <c r="C627" s="2">
        <v>12.0</v>
      </c>
      <c r="D627" s="2" t="s">
        <v>64</v>
      </c>
      <c r="E627" s="2" t="s">
        <v>63</v>
      </c>
      <c r="F627" s="2" t="s">
        <v>48</v>
      </c>
      <c r="G627" s="2" t="s">
        <v>37</v>
      </c>
      <c r="H627" s="2" t="s">
        <v>35</v>
      </c>
      <c r="I627" s="2" t="s">
        <v>29</v>
      </c>
      <c r="J627" s="2">
        <v>3187.0</v>
      </c>
      <c r="K627" s="2">
        <v>1572.0</v>
      </c>
      <c r="L627" s="2">
        <v>575.0</v>
      </c>
      <c r="M627" s="2">
        <v>538.0</v>
      </c>
      <c r="N627" s="2">
        <v>455.0</v>
      </c>
      <c r="O627" s="2">
        <v>1357.0</v>
      </c>
      <c r="P627" s="2">
        <v>1069.0</v>
      </c>
      <c r="Q627" s="2">
        <v>20.0</v>
      </c>
      <c r="R627" s="2">
        <v>30827.0</v>
      </c>
      <c r="S627" s="2">
        <v>10167.0</v>
      </c>
      <c r="T627" s="2">
        <v>20660.0</v>
      </c>
      <c r="U627" s="2">
        <v>10167.0</v>
      </c>
      <c r="V627" s="2">
        <v>0.0</v>
      </c>
      <c r="W627" s="2">
        <v>20660.0</v>
      </c>
    </row>
    <row r="628" ht="15.0" customHeight="1">
      <c r="A628" s="2">
        <v>2025.0</v>
      </c>
      <c r="B628" s="2" t="s">
        <v>49</v>
      </c>
      <c r="C628" s="2">
        <v>12.0</v>
      </c>
      <c r="D628" s="2" t="s">
        <v>64</v>
      </c>
      <c r="E628" s="2" t="s">
        <v>63</v>
      </c>
      <c r="F628" s="2" t="s">
        <v>48</v>
      </c>
      <c r="G628" s="2" t="s">
        <v>37</v>
      </c>
      <c r="H628" s="2" t="s">
        <v>35</v>
      </c>
      <c r="I628" s="2" t="s">
        <v>30</v>
      </c>
      <c r="J628" s="2">
        <v>1866.0</v>
      </c>
      <c r="K628" s="2">
        <v>641.0</v>
      </c>
      <c r="L628" s="2">
        <v>190.0</v>
      </c>
      <c r="M628" s="2">
        <v>180.0</v>
      </c>
      <c r="N628" s="2">
        <v>142.0</v>
      </c>
      <c r="O628" s="2">
        <v>435.0</v>
      </c>
      <c r="P628" s="2">
        <v>353.0</v>
      </c>
      <c r="Q628" s="2">
        <v>5.0</v>
      </c>
      <c r="R628" s="2">
        <v>10090.0</v>
      </c>
      <c r="S628" s="2">
        <v>4537.0</v>
      </c>
      <c r="T628" s="2">
        <v>5553.0</v>
      </c>
      <c r="U628" s="2">
        <v>4537.0</v>
      </c>
      <c r="V628" s="2">
        <v>0.0</v>
      </c>
      <c r="W628" s="2">
        <v>5553.0</v>
      </c>
    </row>
    <row r="629" ht="15.0" customHeight="1">
      <c r="A629" s="2">
        <v>2025.0</v>
      </c>
      <c r="B629" s="2" t="s">
        <v>49</v>
      </c>
      <c r="C629" s="2">
        <v>12.0</v>
      </c>
      <c r="D629" s="2" t="s">
        <v>64</v>
      </c>
      <c r="E629" s="2" t="s">
        <v>63</v>
      </c>
      <c r="F629" s="2" t="s">
        <v>48</v>
      </c>
      <c r="G629" s="2" t="s">
        <v>37</v>
      </c>
      <c r="H629" s="2" t="s">
        <v>35</v>
      </c>
      <c r="I629" s="2" t="s">
        <v>31</v>
      </c>
      <c r="J629" s="2">
        <v>82.0</v>
      </c>
      <c r="K629" s="2">
        <v>49.0</v>
      </c>
      <c r="L629" s="2">
        <v>19.0</v>
      </c>
      <c r="M629" s="2">
        <v>16.0</v>
      </c>
      <c r="N629" s="2">
        <v>13.0</v>
      </c>
      <c r="O629" s="2">
        <v>37.0</v>
      </c>
      <c r="P629" s="2">
        <v>21.0</v>
      </c>
      <c r="Q629" s="2">
        <v>1.0</v>
      </c>
      <c r="R629" s="2">
        <v>630.0</v>
      </c>
      <c r="S629" s="2">
        <v>0.0</v>
      </c>
      <c r="T629" s="2">
        <v>630.0</v>
      </c>
      <c r="U629" s="2">
        <v>0.0</v>
      </c>
      <c r="V629" s="2">
        <v>0.0</v>
      </c>
      <c r="W629" s="2">
        <v>630.0</v>
      </c>
    </row>
    <row r="630" ht="15.0" customHeight="1">
      <c r="A630" s="2">
        <v>2025.0</v>
      </c>
      <c r="B630" s="2" t="s">
        <v>49</v>
      </c>
      <c r="C630" s="2">
        <v>12.0</v>
      </c>
      <c r="D630" s="2" t="s">
        <v>64</v>
      </c>
      <c r="E630" s="2" t="s">
        <v>63</v>
      </c>
      <c r="F630" s="2" t="s">
        <v>48</v>
      </c>
      <c r="G630" s="2" t="s">
        <v>38</v>
      </c>
      <c r="H630" s="2" t="s">
        <v>35</v>
      </c>
      <c r="I630" s="2" t="s">
        <v>29</v>
      </c>
      <c r="J630" s="2">
        <v>811.0</v>
      </c>
      <c r="K630" s="2">
        <v>443.0</v>
      </c>
      <c r="L630" s="2">
        <v>208.0</v>
      </c>
      <c r="M630" s="2">
        <v>195.0</v>
      </c>
      <c r="N630" s="2">
        <v>124.0</v>
      </c>
      <c r="O630" s="2">
        <v>175.0</v>
      </c>
      <c r="P630" s="2">
        <v>125.0</v>
      </c>
      <c r="Q630" s="2">
        <v>37.0</v>
      </c>
      <c r="R630" s="2">
        <v>2298.0</v>
      </c>
      <c r="S630" s="2">
        <v>855.0</v>
      </c>
      <c r="T630" s="2">
        <v>1442.0</v>
      </c>
      <c r="U630" s="2">
        <v>820.0</v>
      </c>
      <c r="V630" s="2">
        <v>35.0</v>
      </c>
      <c r="W630" s="2">
        <v>1478.0</v>
      </c>
    </row>
    <row r="631" ht="15.0" customHeight="1">
      <c r="A631" s="2">
        <v>2025.0</v>
      </c>
      <c r="B631" s="2" t="s">
        <v>49</v>
      </c>
      <c r="C631" s="2">
        <v>12.0</v>
      </c>
      <c r="D631" s="2" t="s">
        <v>64</v>
      </c>
      <c r="E631" s="2" t="s">
        <v>63</v>
      </c>
      <c r="F631" s="2" t="s">
        <v>48</v>
      </c>
      <c r="G631" s="2" t="s">
        <v>38</v>
      </c>
      <c r="H631" s="2" t="s">
        <v>35</v>
      </c>
      <c r="I631" s="2" t="s">
        <v>30</v>
      </c>
      <c r="J631" s="2">
        <v>3251.0</v>
      </c>
      <c r="K631" s="2">
        <v>1215.0</v>
      </c>
      <c r="L631" s="2">
        <v>928.0</v>
      </c>
      <c r="M631" s="2">
        <v>893.0</v>
      </c>
      <c r="N631" s="2">
        <v>531.0</v>
      </c>
      <c r="O631" s="2">
        <v>762.0</v>
      </c>
      <c r="P631" s="2">
        <v>486.0</v>
      </c>
      <c r="Q631" s="2">
        <v>200.0</v>
      </c>
      <c r="R631" s="2">
        <v>8424.0</v>
      </c>
      <c r="S631" s="2">
        <v>4221.0</v>
      </c>
      <c r="T631" s="2">
        <v>4203.0</v>
      </c>
      <c r="U631" s="2">
        <v>4221.0</v>
      </c>
      <c r="V631" s="2">
        <v>0.0</v>
      </c>
      <c r="W631" s="2">
        <v>4203.0</v>
      </c>
    </row>
    <row r="632" ht="15.0" customHeight="1">
      <c r="A632" s="2">
        <v>2025.0</v>
      </c>
      <c r="B632" s="2" t="s">
        <v>49</v>
      </c>
      <c r="C632" s="2">
        <v>12.0</v>
      </c>
      <c r="D632" s="2" t="s">
        <v>64</v>
      </c>
      <c r="E632" s="2" t="s">
        <v>63</v>
      </c>
      <c r="F632" s="2" t="s">
        <v>48</v>
      </c>
      <c r="G632" s="2" t="s">
        <v>38</v>
      </c>
      <c r="H632" s="2" t="s">
        <v>35</v>
      </c>
      <c r="I632" s="2" t="s">
        <v>31</v>
      </c>
      <c r="J632" s="2">
        <v>597.0</v>
      </c>
      <c r="K632" s="2">
        <v>394.0</v>
      </c>
      <c r="L632" s="2">
        <v>350.0</v>
      </c>
      <c r="M632" s="2">
        <v>306.0</v>
      </c>
      <c r="N632" s="2">
        <v>178.0</v>
      </c>
      <c r="O632" s="2">
        <v>264.0</v>
      </c>
      <c r="P632" s="2">
        <v>185.0</v>
      </c>
      <c r="Q632" s="2">
        <v>51.0</v>
      </c>
      <c r="R632" s="2">
        <v>4049.0</v>
      </c>
      <c r="S632" s="2">
        <v>0.0</v>
      </c>
      <c r="T632" s="2">
        <v>4049.0</v>
      </c>
      <c r="U632" s="2">
        <v>0.0</v>
      </c>
      <c r="V632" s="2">
        <v>0.0</v>
      </c>
      <c r="W632" s="2">
        <v>4049.0</v>
      </c>
    </row>
    <row r="633" ht="15.0" customHeight="1">
      <c r="A633" s="2">
        <v>2025.0</v>
      </c>
      <c r="B633" s="2" t="s">
        <v>49</v>
      </c>
      <c r="C633" s="2">
        <v>12.0</v>
      </c>
      <c r="D633" s="2" t="s">
        <v>64</v>
      </c>
      <c r="E633" s="2" t="s">
        <v>63</v>
      </c>
      <c r="F633" s="2" t="s">
        <v>48</v>
      </c>
      <c r="G633" s="2" t="s">
        <v>39</v>
      </c>
      <c r="H633" s="2" t="s">
        <v>40</v>
      </c>
      <c r="I633" s="2" t="s">
        <v>29</v>
      </c>
      <c r="J633" s="2">
        <v>30022.0</v>
      </c>
      <c r="K633" s="2">
        <v>18475.0</v>
      </c>
      <c r="L633" s="2">
        <v>7118.0</v>
      </c>
      <c r="M633" s="2">
        <v>6694.0</v>
      </c>
      <c r="N633" s="2">
        <v>4395.0</v>
      </c>
      <c r="O633" s="2">
        <v>6843.0</v>
      </c>
      <c r="P633" s="2">
        <v>6314.0</v>
      </c>
      <c r="Q633" s="2">
        <v>5185.0</v>
      </c>
      <c r="R633" s="2">
        <v>41654.0</v>
      </c>
      <c r="S633" s="2">
        <v>24116.0</v>
      </c>
      <c r="T633" s="2">
        <v>17539.0</v>
      </c>
      <c r="U633" s="2">
        <v>23981.0</v>
      </c>
      <c r="V633" s="2">
        <v>134.0</v>
      </c>
      <c r="W633" s="2">
        <v>17673.0</v>
      </c>
    </row>
    <row r="634" ht="15.0" customHeight="1">
      <c r="A634" s="2">
        <v>2025.0</v>
      </c>
      <c r="B634" s="2" t="s">
        <v>49</v>
      </c>
      <c r="C634" s="2">
        <v>12.0</v>
      </c>
      <c r="D634" s="2" t="s">
        <v>64</v>
      </c>
      <c r="E634" s="2" t="s">
        <v>63</v>
      </c>
      <c r="F634" s="2" t="s">
        <v>48</v>
      </c>
      <c r="G634" s="2" t="s">
        <v>39</v>
      </c>
      <c r="H634" s="2" t="s">
        <v>40</v>
      </c>
      <c r="I634" s="2" t="s">
        <v>30</v>
      </c>
      <c r="J634" s="2">
        <v>1497.0</v>
      </c>
      <c r="K634" s="2">
        <v>853.0</v>
      </c>
      <c r="L634" s="2">
        <v>348.0</v>
      </c>
      <c r="M634" s="2">
        <v>319.0</v>
      </c>
      <c r="N634" s="2">
        <v>255.0</v>
      </c>
      <c r="O634" s="2">
        <v>433.0</v>
      </c>
      <c r="P634" s="2">
        <v>402.0</v>
      </c>
      <c r="Q634" s="2">
        <v>304.0</v>
      </c>
      <c r="R634" s="2">
        <v>3051.0</v>
      </c>
      <c r="S634" s="2">
        <v>1252.0</v>
      </c>
      <c r="T634" s="2">
        <v>1799.0</v>
      </c>
      <c r="U634" s="2">
        <v>1252.0</v>
      </c>
      <c r="V634" s="2">
        <v>0.0</v>
      </c>
      <c r="W634" s="2">
        <v>1799.0</v>
      </c>
    </row>
    <row r="635" ht="15.0" customHeight="1">
      <c r="A635" s="2">
        <v>2025.0</v>
      </c>
      <c r="B635" s="2" t="s">
        <v>49</v>
      </c>
      <c r="C635" s="2">
        <v>12.0</v>
      </c>
      <c r="D635" s="2" t="s">
        <v>64</v>
      </c>
      <c r="E635" s="2" t="s">
        <v>63</v>
      </c>
      <c r="F635" s="2" t="s">
        <v>48</v>
      </c>
      <c r="G635" s="2" t="s">
        <v>39</v>
      </c>
      <c r="H635" s="2" t="s">
        <v>40</v>
      </c>
      <c r="I635" s="2" t="s">
        <v>31</v>
      </c>
      <c r="J635" s="2">
        <v>1595.0</v>
      </c>
      <c r="K635" s="2">
        <v>894.0</v>
      </c>
      <c r="L635" s="2">
        <v>532.0</v>
      </c>
      <c r="M635" s="2">
        <v>455.0</v>
      </c>
      <c r="N635" s="2">
        <v>361.0</v>
      </c>
      <c r="O635" s="2">
        <v>645.0</v>
      </c>
      <c r="P635" s="2">
        <v>581.0</v>
      </c>
      <c r="Q635" s="2">
        <v>387.0</v>
      </c>
      <c r="R635" s="2">
        <v>5665.0</v>
      </c>
      <c r="S635" s="2">
        <v>0.0</v>
      </c>
      <c r="T635" s="2">
        <v>5665.0</v>
      </c>
      <c r="U635" s="2">
        <v>0.0</v>
      </c>
      <c r="V635" s="2">
        <v>0.0</v>
      </c>
      <c r="W635" s="2">
        <v>5665.0</v>
      </c>
    </row>
    <row r="636" ht="15.0" customHeight="1">
      <c r="A636" s="2">
        <v>2025.0</v>
      </c>
      <c r="B636" s="2" t="s">
        <v>49</v>
      </c>
      <c r="C636" s="2">
        <v>12.0</v>
      </c>
      <c r="D636" s="2" t="s">
        <v>64</v>
      </c>
      <c r="E636" s="2" t="s">
        <v>63</v>
      </c>
      <c r="F636" s="2" t="s">
        <v>48</v>
      </c>
      <c r="G636" s="2" t="s">
        <v>41</v>
      </c>
      <c r="H636" s="2" t="s">
        <v>42</v>
      </c>
      <c r="I636" s="2" t="s">
        <v>29</v>
      </c>
      <c r="J636" s="2">
        <v>8644.0</v>
      </c>
      <c r="K636" s="2">
        <v>5296.0</v>
      </c>
      <c r="L636" s="2">
        <v>1391.0</v>
      </c>
      <c r="M636" s="2">
        <v>1177.0</v>
      </c>
      <c r="N636" s="2">
        <v>585.0</v>
      </c>
      <c r="O636" s="2">
        <v>788.0</v>
      </c>
      <c r="P636" s="2">
        <v>545.0</v>
      </c>
      <c r="Q636" s="2">
        <v>123.0</v>
      </c>
      <c r="R636" s="2">
        <v>5016.0</v>
      </c>
      <c r="S636" s="2">
        <v>5884.0</v>
      </c>
      <c r="T636" s="2">
        <v>-868.0</v>
      </c>
      <c r="U636" s="2">
        <v>4223.0</v>
      </c>
      <c r="V636" s="2">
        <v>1661.0</v>
      </c>
      <c r="W636" s="2">
        <v>793.0</v>
      </c>
    </row>
    <row r="637" ht="15.0" customHeight="1">
      <c r="A637" s="2">
        <v>2025.0</v>
      </c>
      <c r="B637" s="2" t="s">
        <v>49</v>
      </c>
      <c r="C637" s="2">
        <v>12.0</v>
      </c>
      <c r="D637" s="2" t="s">
        <v>64</v>
      </c>
      <c r="E637" s="2" t="s">
        <v>63</v>
      </c>
      <c r="F637" s="2" t="s">
        <v>48</v>
      </c>
      <c r="G637" s="2" t="s">
        <v>41</v>
      </c>
      <c r="H637" s="2" t="s">
        <v>42</v>
      </c>
      <c r="I637" s="2" t="s">
        <v>30</v>
      </c>
      <c r="J637" s="2">
        <v>5034.0</v>
      </c>
      <c r="K637" s="2">
        <v>2855.0</v>
      </c>
      <c r="L637" s="2">
        <v>1731.0</v>
      </c>
      <c r="M637" s="2">
        <v>1588.0</v>
      </c>
      <c r="N637" s="2">
        <v>853.0</v>
      </c>
      <c r="O637" s="2">
        <v>1138.0</v>
      </c>
      <c r="P637" s="2">
        <v>767.0</v>
      </c>
      <c r="Q637" s="2">
        <v>247.0</v>
      </c>
      <c r="R637" s="2">
        <v>7110.0</v>
      </c>
      <c r="S637" s="2">
        <v>3995.0</v>
      </c>
      <c r="T637" s="2">
        <v>3115.0</v>
      </c>
      <c r="U637" s="2">
        <v>3995.0</v>
      </c>
      <c r="V637" s="2">
        <v>0.0</v>
      </c>
      <c r="W637" s="2">
        <v>3115.0</v>
      </c>
    </row>
    <row r="638" ht="15.0" customHeight="1">
      <c r="A638" s="2">
        <v>2025.0</v>
      </c>
      <c r="B638" s="2" t="s">
        <v>49</v>
      </c>
      <c r="C638" s="2">
        <v>12.0</v>
      </c>
      <c r="D638" s="2" t="s">
        <v>64</v>
      </c>
      <c r="E638" s="2" t="s">
        <v>63</v>
      </c>
      <c r="F638" s="2" t="s">
        <v>48</v>
      </c>
      <c r="G638" s="2" t="s">
        <v>41</v>
      </c>
      <c r="H638" s="2" t="s">
        <v>42</v>
      </c>
      <c r="I638" s="2" t="s">
        <v>31</v>
      </c>
      <c r="J638" s="2">
        <v>7425.0</v>
      </c>
      <c r="K638" s="2">
        <v>5817.0</v>
      </c>
      <c r="L638" s="2">
        <v>5788.0</v>
      </c>
      <c r="M638" s="2">
        <v>4453.0</v>
      </c>
      <c r="N638" s="2">
        <v>1468.0</v>
      </c>
      <c r="O638" s="2">
        <v>1934.0</v>
      </c>
      <c r="P638" s="2">
        <v>1244.0</v>
      </c>
      <c r="Q638" s="2">
        <v>311.0</v>
      </c>
      <c r="R638" s="2">
        <v>12999.0</v>
      </c>
      <c r="S638" s="2">
        <v>31.0</v>
      </c>
      <c r="T638" s="2">
        <v>12968.0</v>
      </c>
      <c r="U638" s="2">
        <v>31.0</v>
      </c>
      <c r="V638" s="2">
        <v>0.0</v>
      </c>
      <c r="W638" s="2">
        <v>12968.0</v>
      </c>
    </row>
    <row r="639" ht="15.0" customHeight="1">
      <c r="A639" s="2">
        <v>2025.0</v>
      </c>
      <c r="B639" s="2" t="s">
        <v>49</v>
      </c>
      <c r="C639" s="2">
        <v>12.0</v>
      </c>
      <c r="D639" s="2" t="s">
        <v>64</v>
      </c>
      <c r="E639" s="2" t="s">
        <v>63</v>
      </c>
      <c r="F639" s="2" t="s">
        <v>48</v>
      </c>
      <c r="G639" s="2" t="s">
        <v>43</v>
      </c>
      <c r="H639" s="2" t="s">
        <v>42</v>
      </c>
      <c r="I639" s="2" t="s">
        <v>29</v>
      </c>
      <c r="J639" s="2">
        <v>15105.0</v>
      </c>
      <c r="K639" s="2">
        <v>5846.0</v>
      </c>
      <c r="L639" s="2">
        <v>2589.0</v>
      </c>
      <c r="M639" s="2">
        <v>2385.0</v>
      </c>
      <c r="N639" s="2">
        <v>1433.0</v>
      </c>
      <c r="O639" s="2">
        <v>2976.0</v>
      </c>
      <c r="P639" s="2">
        <v>2447.0</v>
      </c>
      <c r="Q639" s="2">
        <v>0.0</v>
      </c>
      <c r="R639" s="2">
        <v>102689.0</v>
      </c>
      <c r="S639" s="2">
        <v>54330.0</v>
      </c>
      <c r="T639" s="2">
        <v>48359.0</v>
      </c>
      <c r="U639" s="2">
        <v>53453.0</v>
      </c>
      <c r="V639" s="2">
        <v>877.0</v>
      </c>
      <c r="W639" s="2">
        <v>49235.0</v>
      </c>
    </row>
    <row r="640" ht="15.0" customHeight="1">
      <c r="A640" s="2">
        <v>2025.0</v>
      </c>
      <c r="B640" s="2" t="s">
        <v>49</v>
      </c>
      <c r="C640" s="2">
        <v>12.0</v>
      </c>
      <c r="D640" s="2" t="s">
        <v>64</v>
      </c>
      <c r="E640" s="2" t="s">
        <v>63</v>
      </c>
      <c r="F640" s="2" t="s">
        <v>48</v>
      </c>
      <c r="G640" s="2" t="s">
        <v>43</v>
      </c>
      <c r="H640" s="2" t="s">
        <v>42</v>
      </c>
      <c r="I640" s="2" t="s">
        <v>30</v>
      </c>
      <c r="J640" s="2">
        <v>3908.0</v>
      </c>
      <c r="K640" s="2">
        <v>908.0</v>
      </c>
      <c r="L640" s="2">
        <v>344.0</v>
      </c>
      <c r="M640" s="2">
        <v>310.0</v>
      </c>
      <c r="N640" s="2">
        <v>192.0</v>
      </c>
      <c r="O640" s="2">
        <v>488.0</v>
      </c>
      <c r="P640" s="2">
        <v>411.0</v>
      </c>
      <c r="Q640" s="2">
        <v>0.0</v>
      </c>
      <c r="R640" s="2">
        <v>17995.0</v>
      </c>
      <c r="S640" s="2">
        <v>12076.0</v>
      </c>
      <c r="T640" s="2">
        <v>5919.0</v>
      </c>
      <c r="U640" s="2">
        <v>12076.0</v>
      </c>
      <c r="V640" s="2">
        <v>0.0</v>
      </c>
      <c r="W640" s="2">
        <v>5919.0</v>
      </c>
    </row>
    <row r="641" ht="15.0" customHeight="1">
      <c r="A641" s="2">
        <v>2025.0</v>
      </c>
      <c r="B641" s="2" t="s">
        <v>49</v>
      </c>
      <c r="C641" s="2">
        <v>12.0</v>
      </c>
      <c r="D641" s="2" t="s">
        <v>64</v>
      </c>
      <c r="E641" s="2" t="s">
        <v>63</v>
      </c>
      <c r="F641" s="2" t="s">
        <v>48</v>
      </c>
      <c r="G641" s="2" t="s">
        <v>43</v>
      </c>
      <c r="H641" s="2" t="s">
        <v>42</v>
      </c>
      <c r="I641" s="2" t="s">
        <v>31</v>
      </c>
      <c r="J641" s="2">
        <v>474.0</v>
      </c>
      <c r="K641" s="2">
        <v>261.0</v>
      </c>
      <c r="L641" s="2">
        <v>196.0</v>
      </c>
      <c r="M641" s="2">
        <v>159.0</v>
      </c>
      <c r="N641" s="2">
        <v>102.0</v>
      </c>
      <c r="O641" s="2">
        <v>234.0</v>
      </c>
      <c r="P641" s="2">
        <v>196.0</v>
      </c>
      <c r="Q641" s="2">
        <v>0.0</v>
      </c>
      <c r="R641" s="2">
        <v>8409.0</v>
      </c>
      <c r="S641" s="2">
        <v>0.0</v>
      </c>
      <c r="T641" s="2">
        <v>8409.0</v>
      </c>
      <c r="U641" s="2">
        <v>0.0</v>
      </c>
      <c r="V641" s="2">
        <v>0.0</v>
      </c>
      <c r="W641" s="2">
        <v>8409.0</v>
      </c>
    </row>
    <row r="642" ht="15.0" customHeight="1">
      <c r="A642" s="2">
        <v>2025.0</v>
      </c>
      <c r="B642" s="2" t="s">
        <v>49</v>
      </c>
      <c r="C642" s="2">
        <v>12.0</v>
      </c>
      <c r="D642" s="2" t="s">
        <v>64</v>
      </c>
      <c r="E642" s="2" t="s">
        <v>63</v>
      </c>
      <c r="F642" s="2" t="s">
        <v>48</v>
      </c>
      <c r="G642" s="2" t="s">
        <v>44</v>
      </c>
      <c r="H642" s="2" t="s">
        <v>45</v>
      </c>
      <c r="I642" s="2" t="s">
        <v>29</v>
      </c>
      <c r="J642" s="2">
        <v>1678.0</v>
      </c>
      <c r="K642" s="2">
        <v>886.0</v>
      </c>
      <c r="L642" s="2">
        <v>225.0</v>
      </c>
      <c r="M642" s="2">
        <v>212.0</v>
      </c>
      <c r="N642" s="2">
        <v>161.0</v>
      </c>
      <c r="O642" s="2">
        <v>327.0</v>
      </c>
      <c r="P642" s="2">
        <v>241.0</v>
      </c>
      <c r="Q642" s="2">
        <v>85.0</v>
      </c>
      <c r="R642" s="2">
        <v>5480.0</v>
      </c>
      <c r="S642" s="2">
        <v>5707.0</v>
      </c>
      <c r="T642" s="2">
        <v>-226.0</v>
      </c>
      <c r="U642" s="2">
        <v>3776.0</v>
      </c>
      <c r="V642" s="2">
        <v>1931.0</v>
      </c>
      <c r="W642" s="2">
        <v>1704.0</v>
      </c>
    </row>
    <row r="643" ht="15.0" customHeight="1">
      <c r="A643" s="2">
        <v>2025.0</v>
      </c>
      <c r="B643" s="2" t="s">
        <v>49</v>
      </c>
      <c r="C643" s="2">
        <v>12.0</v>
      </c>
      <c r="D643" s="2" t="s">
        <v>64</v>
      </c>
      <c r="E643" s="2" t="s">
        <v>63</v>
      </c>
      <c r="F643" s="2" t="s">
        <v>48</v>
      </c>
      <c r="G643" s="2" t="s">
        <v>44</v>
      </c>
      <c r="H643" s="2" t="s">
        <v>45</v>
      </c>
      <c r="I643" s="2" t="s">
        <v>30</v>
      </c>
      <c r="J643" s="2">
        <v>528.0</v>
      </c>
      <c r="K643" s="2">
        <v>273.0</v>
      </c>
      <c r="L643" s="2">
        <v>70.0</v>
      </c>
      <c r="M643" s="2">
        <v>64.0</v>
      </c>
      <c r="N643" s="2">
        <v>45.0</v>
      </c>
      <c r="O643" s="2">
        <v>61.0</v>
      </c>
      <c r="P643" s="2">
        <v>47.0</v>
      </c>
      <c r="Q643" s="2">
        <v>16.0</v>
      </c>
      <c r="R643" s="2">
        <v>1097.0</v>
      </c>
      <c r="S643" s="2">
        <v>84.0</v>
      </c>
      <c r="T643" s="2">
        <v>1014.0</v>
      </c>
      <c r="U643" s="2">
        <v>84.0</v>
      </c>
      <c r="V643" s="2">
        <v>0.0</v>
      </c>
      <c r="W643" s="2">
        <v>1014.0</v>
      </c>
    </row>
    <row r="644" ht="15.0" customHeight="1">
      <c r="A644" s="2">
        <v>2025.0</v>
      </c>
      <c r="B644" s="2" t="s">
        <v>49</v>
      </c>
      <c r="C644" s="2">
        <v>12.0</v>
      </c>
      <c r="D644" s="2" t="s">
        <v>64</v>
      </c>
      <c r="E644" s="2" t="s">
        <v>63</v>
      </c>
      <c r="F644" s="2" t="s">
        <v>48</v>
      </c>
      <c r="G644" s="2" t="s">
        <v>44</v>
      </c>
      <c r="H644" s="2" t="s">
        <v>45</v>
      </c>
      <c r="I644" s="2" t="s">
        <v>31</v>
      </c>
      <c r="J644" s="2">
        <v>333.0</v>
      </c>
      <c r="K644" s="2">
        <v>244.0</v>
      </c>
      <c r="L644" s="2">
        <v>180.0</v>
      </c>
      <c r="M644" s="2">
        <v>130.0</v>
      </c>
      <c r="N644" s="2">
        <v>113.0</v>
      </c>
      <c r="O644" s="2">
        <v>330.0</v>
      </c>
      <c r="P644" s="2">
        <v>269.0</v>
      </c>
      <c r="Q644" s="2">
        <v>51.0</v>
      </c>
      <c r="R644" s="2">
        <v>9857.0</v>
      </c>
      <c r="S644" s="2">
        <v>19.0</v>
      </c>
      <c r="T644" s="2">
        <v>9838.0</v>
      </c>
      <c r="U644" s="2">
        <v>19.0</v>
      </c>
      <c r="V644" s="2">
        <v>0.0</v>
      </c>
      <c r="W644" s="2">
        <v>9838.0</v>
      </c>
    </row>
    <row r="645" ht="15.0" customHeight="1">
      <c r="A645" s="2">
        <v>2025.0</v>
      </c>
      <c r="B645" s="2" t="s">
        <v>49</v>
      </c>
      <c r="C645" s="2">
        <v>12.0</v>
      </c>
      <c r="D645" s="2" t="s">
        <v>64</v>
      </c>
      <c r="E645" s="2" t="s">
        <v>63</v>
      </c>
      <c r="F645" s="2" t="s">
        <v>48</v>
      </c>
      <c r="G645" s="2" t="s">
        <v>46</v>
      </c>
      <c r="H645" s="2" t="s">
        <v>47</v>
      </c>
      <c r="I645" s="2" t="s">
        <v>29</v>
      </c>
      <c r="J645" s="2">
        <v>8780.0</v>
      </c>
      <c r="K645" s="2">
        <v>4458.0</v>
      </c>
      <c r="L645" s="2">
        <v>1687.0</v>
      </c>
      <c r="M645" s="2">
        <v>1422.0</v>
      </c>
      <c r="N645" s="2">
        <v>1091.0</v>
      </c>
      <c r="O645" s="2">
        <v>1938.0</v>
      </c>
      <c r="P645" s="2">
        <v>1350.0</v>
      </c>
      <c r="Q645" s="2">
        <v>562.0</v>
      </c>
      <c r="R645" s="2">
        <v>46465.0</v>
      </c>
      <c r="S645" s="2">
        <v>21603.0</v>
      </c>
      <c r="T645" s="2">
        <v>24862.0</v>
      </c>
      <c r="U645" s="2">
        <v>21439.0</v>
      </c>
      <c r="V645" s="2">
        <v>164.0</v>
      </c>
      <c r="W645" s="2">
        <v>25025.0</v>
      </c>
    </row>
    <row r="646" ht="15.0" customHeight="1">
      <c r="A646" s="2">
        <v>2025.0</v>
      </c>
      <c r="B646" s="2" t="s">
        <v>49</v>
      </c>
      <c r="C646" s="2">
        <v>12.0</v>
      </c>
      <c r="D646" s="2" t="s">
        <v>64</v>
      </c>
      <c r="E646" s="2" t="s">
        <v>63</v>
      </c>
      <c r="F646" s="2" t="s">
        <v>48</v>
      </c>
      <c r="G646" s="2" t="s">
        <v>46</v>
      </c>
      <c r="H646" s="2" t="s">
        <v>47</v>
      </c>
      <c r="I646" s="2" t="s">
        <v>30</v>
      </c>
      <c r="J646" s="2">
        <v>1645.0</v>
      </c>
      <c r="K646" s="2">
        <v>408.0</v>
      </c>
      <c r="L646" s="2">
        <v>184.0</v>
      </c>
      <c r="M646" s="2">
        <v>177.0</v>
      </c>
      <c r="N646" s="2">
        <v>159.0</v>
      </c>
      <c r="O646" s="2">
        <v>383.0</v>
      </c>
      <c r="P646" s="2">
        <v>292.0</v>
      </c>
      <c r="Q646" s="2">
        <v>94.0</v>
      </c>
      <c r="R646" s="2">
        <v>9988.0</v>
      </c>
      <c r="S646" s="2">
        <v>3592.0</v>
      </c>
      <c r="T646" s="2">
        <v>6396.0</v>
      </c>
      <c r="U646" s="2">
        <v>3592.0</v>
      </c>
      <c r="V646" s="2">
        <v>0.0</v>
      </c>
      <c r="W646" s="2">
        <v>6396.0</v>
      </c>
    </row>
    <row r="647" ht="15.0" customHeight="1">
      <c r="A647" s="2">
        <v>2025.0</v>
      </c>
      <c r="B647" s="2" t="s">
        <v>49</v>
      </c>
      <c r="C647" s="2">
        <v>12.0</v>
      </c>
      <c r="D647" s="2" t="s">
        <v>64</v>
      </c>
      <c r="E647" s="2" t="s">
        <v>63</v>
      </c>
      <c r="F647" s="2" t="s">
        <v>48</v>
      </c>
      <c r="G647" s="2" t="s">
        <v>46</v>
      </c>
      <c r="H647" s="2" t="s">
        <v>47</v>
      </c>
      <c r="I647" s="2" t="s">
        <v>31</v>
      </c>
      <c r="J647" s="2">
        <v>552.0</v>
      </c>
      <c r="K647" s="2">
        <v>218.0</v>
      </c>
      <c r="L647" s="2">
        <v>104.0</v>
      </c>
      <c r="M647" s="2">
        <v>76.0</v>
      </c>
      <c r="N647" s="2">
        <v>63.0</v>
      </c>
      <c r="O647" s="2">
        <v>144.0</v>
      </c>
      <c r="P647" s="2">
        <v>108.0</v>
      </c>
      <c r="Q647" s="2">
        <v>35.0</v>
      </c>
      <c r="R647" s="2">
        <v>4307.0</v>
      </c>
      <c r="S647" s="2">
        <v>26.0</v>
      </c>
      <c r="T647" s="2">
        <v>4280.0</v>
      </c>
      <c r="U647" s="2">
        <v>26.0</v>
      </c>
      <c r="V647" s="2">
        <v>0.0</v>
      </c>
      <c r="W647" s="2">
        <v>4280.0</v>
      </c>
    </row>
    <row r="648" ht="15.0" customHeight="1">
      <c r="A648" s="2">
        <v>2025.0</v>
      </c>
      <c r="B648" s="2" t="s">
        <v>65</v>
      </c>
      <c r="C648" s="2">
        <v>2.0</v>
      </c>
      <c r="D648" s="2" t="s">
        <v>66</v>
      </c>
      <c r="E648" s="2" t="s">
        <v>61</v>
      </c>
      <c r="F648" s="2" t="s">
        <v>26</v>
      </c>
      <c r="G648" s="2" t="s">
        <v>27</v>
      </c>
      <c r="H648" s="2" t="s">
        <v>28</v>
      </c>
      <c r="I648" s="2" t="s">
        <v>29</v>
      </c>
      <c r="J648" s="2">
        <v>5554.0</v>
      </c>
      <c r="K648" s="2">
        <v>3081.0</v>
      </c>
      <c r="L648" s="2">
        <v>858.0</v>
      </c>
      <c r="M648" s="2">
        <v>839.0</v>
      </c>
      <c r="N648" s="2">
        <v>757.0</v>
      </c>
      <c r="O648" s="2">
        <v>1434.0</v>
      </c>
      <c r="P648" s="2">
        <v>1166.0</v>
      </c>
      <c r="Q648" s="2">
        <v>144.0</v>
      </c>
      <c r="R648" s="2">
        <v>21760.0</v>
      </c>
      <c r="S648" s="2">
        <v>11936.0</v>
      </c>
      <c r="T648" s="2">
        <v>9824.0</v>
      </c>
      <c r="U648" s="2">
        <v>11798.0</v>
      </c>
      <c r="V648" s="2">
        <v>138.0</v>
      </c>
      <c r="W648" s="2">
        <v>9962.0</v>
      </c>
    </row>
    <row r="649" ht="15.0" customHeight="1">
      <c r="A649" s="2">
        <v>2025.0</v>
      </c>
      <c r="B649" s="2" t="s">
        <v>65</v>
      </c>
      <c r="C649" s="2">
        <v>2.0</v>
      </c>
      <c r="D649" s="2" t="s">
        <v>66</v>
      </c>
      <c r="E649" s="2" t="s">
        <v>61</v>
      </c>
      <c r="F649" s="2" t="s">
        <v>26</v>
      </c>
      <c r="G649" s="2" t="s">
        <v>27</v>
      </c>
      <c r="H649" s="2" t="s">
        <v>28</v>
      </c>
      <c r="I649" s="2" t="s">
        <v>30</v>
      </c>
      <c r="J649" s="2">
        <v>2094.0</v>
      </c>
      <c r="K649" s="2">
        <v>874.0</v>
      </c>
      <c r="L649" s="2">
        <v>212.0</v>
      </c>
      <c r="M649" s="2">
        <v>207.0</v>
      </c>
      <c r="N649" s="2">
        <v>185.0</v>
      </c>
      <c r="O649" s="2">
        <v>339.0</v>
      </c>
      <c r="P649" s="2">
        <v>267.0</v>
      </c>
      <c r="Q649" s="2">
        <v>23.0</v>
      </c>
      <c r="R649" s="2">
        <v>4881.0</v>
      </c>
      <c r="S649" s="2">
        <v>2548.0</v>
      </c>
      <c r="T649" s="2">
        <v>2333.0</v>
      </c>
      <c r="U649" s="2">
        <v>2548.0</v>
      </c>
      <c r="V649" s="2">
        <v>0.0</v>
      </c>
      <c r="W649" s="2">
        <v>2333.0</v>
      </c>
    </row>
    <row r="650" ht="15.0" customHeight="1">
      <c r="A650" s="2">
        <v>2025.0</v>
      </c>
      <c r="B650" s="2" t="s">
        <v>65</v>
      </c>
      <c r="C650" s="2">
        <v>2.0</v>
      </c>
      <c r="D650" s="2" t="s">
        <v>66</v>
      </c>
      <c r="E650" s="2" t="s">
        <v>61</v>
      </c>
      <c r="F650" s="2" t="s">
        <v>26</v>
      </c>
      <c r="G650" s="2" t="s">
        <v>27</v>
      </c>
      <c r="H650" s="2" t="s">
        <v>28</v>
      </c>
      <c r="I650" s="2" t="s">
        <v>31</v>
      </c>
      <c r="J650" s="2">
        <v>370.0</v>
      </c>
      <c r="K650" s="2">
        <v>225.0</v>
      </c>
      <c r="L650" s="2">
        <v>157.0</v>
      </c>
      <c r="M650" s="2">
        <v>148.0</v>
      </c>
      <c r="N650" s="2">
        <v>120.0</v>
      </c>
      <c r="O650" s="2">
        <v>250.0</v>
      </c>
      <c r="P650" s="2">
        <v>184.0</v>
      </c>
      <c r="Q650" s="2">
        <v>20.0</v>
      </c>
      <c r="R650" s="2">
        <v>3487.0</v>
      </c>
      <c r="S650" s="2">
        <v>737.0</v>
      </c>
      <c r="T650" s="2">
        <v>2749.0</v>
      </c>
      <c r="U650" s="2">
        <v>737.0</v>
      </c>
      <c r="V650" s="2">
        <v>0.0</v>
      </c>
      <c r="W650" s="2">
        <v>2749.0</v>
      </c>
    </row>
    <row r="651" ht="15.0" customHeight="1">
      <c r="A651" s="2">
        <v>2025.0</v>
      </c>
      <c r="B651" s="2" t="s">
        <v>65</v>
      </c>
      <c r="C651" s="2">
        <v>2.0</v>
      </c>
      <c r="D651" s="2" t="s">
        <v>66</v>
      </c>
      <c r="E651" s="2" t="s">
        <v>61</v>
      </c>
      <c r="F651" s="2" t="s">
        <v>26</v>
      </c>
      <c r="G651" s="2" t="s">
        <v>32</v>
      </c>
      <c r="H651" s="2" t="s">
        <v>28</v>
      </c>
      <c r="I651" s="2" t="s">
        <v>29</v>
      </c>
      <c r="J651" s="2">
        <v>11508.0</v>
      </c>
      <c r="K651" s="2">
        <v>6406.0</v>
      </c>
      <c r="L651" s="2">
        <v>2780.0</v>
      </c>
      <c r="M651" s="2">
        <v>2671.0</v>
      </c>
      <c r="N651" s="2">
        <v>2108.0</v>
      </c>
      <c r="O651" s="2">
        <v>3098.0</v>
      </c>
      <c r="P651" s="2">
        <v>2484.0</v>
      </c>
      <c r="Q651" s="2">
        <v>43.0</v>
      </c>
      <c r="R651" s="2">
        <v>20191.0</v>
      </c>
      <c r="S651" s="2">
        <v>14315.0</v>
      </c>
      <c r="T651" s="2">
        <v>5876.0</v>
      </c>
      <c r="U651" s="2">
        <v>14212.0</v>
      </c>
      <c r="V651" s="2">
        <v>103.0</v>
      </c>
      <c r="W651" s="2">
        <v>5979.0</v>
      </c>
    </row>
    <row r="652" ht="15.0" customHeight="1">
      <c r="A652" s="2">
        <v>2025.0</v>
      </c>
      <c r="B652" s="2" t="s">
        <v>65</v>
      </c>
      <c r="C652" s="2">
        <v>2.0</v>
      </c>
      <c r="D652" s="2" t="s">
        <v>66</v>
      </c>
      <c r="E652" s="2" t="s">
        <v>61</v>
      </c>
      <c r="F652" s="2" t="s">
        <v>26</v>
      </c>
      <c r="G652" s="2" t="s">
        <v>32</v>
      </c>
      <c r="H652" s="2" t="s">
        <v>28</v>
      </c>
      <c r="I652" s="2" t="s">
        <v>30</v>
      </c>
      <c r="J652" s="2">
        <v>1977.0</v>
      </c>
      <c r="K652" s="2">
        <v>863.0</v>
      </c>
      <c r="L652" s="2">
        <v>339.0</v>
      </c>
      <c r="M652" s="2">
        <v>329.0</v>
      </c>
      <c r="N652" s="2">
        <v>253.0</v>
      </c>
      <c r="O652" s="2">
        <v>378.0</v>
      </c>
      <c r="P652" s="2">
        <v>324.0</v>
      </c>
      <c r="Q652" s="2">
        <v>2.0</v>
      </c>
      <c r="R652" s="2">
        <v>2602.0</v>
      </c>
      <c r="S652" s="2">
        <v>1306.0</v>
      </c>
      <c r="T652" s="2">
        <v>1296.0</v>
      </c>
      <c r="U652" s="2">
        <v>1306.0</v>
      </c>
      <c r="V652" s="2">
        <v>0.0</v>
      </c>
      <c r="W652" s="2">
        <v>1296.0</v>
      </c>
    </row>
    <row r="653" ht="15.0" customHeight="1">
      <c r="A653" s="2">
        <v>2025.0</v>
      </c>
      <c r="B653" s="2" t="s">
        <v>65</v>
      </c>
      <c r="C653" s="2">
        <v>2.0</v>
      </c>
      <c r="D653" s="2" t="s">
        <v>66</v>
      </c>
      <c r="E653" s="2" t="s">
        <v>61</v>
      </c>
      <c r="F653" s="2" t="s">
        <v>26</v>
      </c>
      <c r="G653" s="2" t="s">
        <v>32</v>
      </c>
      <c r="H653" s="2" t="s">
        <v>28</v>
      </c>
      <c r="I653" s="2" t="s">
        <v>31</v>
      </c>
      <c r="J653" s="2">
        <v>4187.0</v>
      </c>
      <c r="K653" s="2">
        <v>2484.0</v>
      </c>
      <c r="L653" s="2">
        <v>1583.0</v>
      </c>
      <c r="M653" s="2">
        <v>1480.0</v>
      </c>
      <c r="N653" s="2">
        <v>1143.0</v>
      </c>
      <c r="O653" s="2">
        <v>1584.0</v>
      </c>
      <c r="P653" s="2">
        <v>1280.0</v>
      </c>
      <c r="Q653" s="2">
        <v>20.0</v>
      </c>
      <c r="R653" s="2">
        <v>10199.0</v>
      </c>
      <c r="S653" s="2">
        <v>556.0</v>
      </c>
      <c r="T653" s="2">
        <v>9643.0</v>
      </c>
      <c r="U653" s="2">
        <v>556.0</v>
      </c>
      <c r="V653" s="2">
        <v>0.0</v>
      </c>
      <c r="W653" s="2">
        <v>9643.0</v>
      </c>
    </row>
    <row r="654" ht="15.0" customHeight="1">
      <c r="A654" s="2">
        <v>2025.0</v>
      </c>
      <c r="B654" s="2" t="s">
        <v>65</v>
      </c>
      <c r="C654" s="2">
        <v>2.0</v>
      </c>
      <c r="D654" s="2" t="s">
        <v>66</v>
      </c>
      <c r="E654" s="2" t="s">
        <v>61</v>
      </c>
      <c r="F654" s="2" t="s">
        <v>26</v>
      </c>
      <c r="G654" s="2" t="s">
        <v>33</v>
      </c>
      <c r="H654" s="2" t="s">
        <v>28</v>
      </c>
      <c r="I654" s="2" t="s">
        <v>29</v>
      </c>
      <c r="J654" s="2">
        <v>5889.0</v>
      </c>
      <c r="K654" s="2">
        <v>3317.0</v>
      </c>
      <c r="L654" s="2">
        <v>1373.0</v>
      </c>
      <c r="M654" s="2">
        <v>1318.0</v>
      </c>
      <c r="N654" s="2">
        <v>930.0</v>
      </c>
      <c r="O654" s="2">
        <v>1257.0</v>
      </c>
      <c r="P654" s="2">
        <v>1140.0</v>
      </c>
      <c r="Q654" s="2">
        <v>362.0</v>
      </c>
      <c r="R654" s="2">
        <v>11796.0</v>
      </c>
      <c r="S654" s="2">
        <v>6924.0</v>
      </c>
      <c r="T654" s="2">
        <v>4872.0</v>
      </c>
      <c r="U654" s="2">
        <v>6895.0</v>
      </c>
      <c r="V654" s="2">
        <v>29.0</v>
      </c>
      <c r="W654" s="2">
        <v>4901.0</v>
      </c>
    </row>
    <row r="655" ht="15.0" customHeight="1">
      <c r="A655" s="2">
        <v>2025.0</v>
      </c>
      <c r="B655" s="2" t="s">
        <v>65</v>
      </c>
      <c r="C655" s="2">
        <v>2.0</v>
      </c>
      <c r="D655" s="2" t="s">
        <v>66</v>
      </c>
      <c r="E655" s="2" t="s">
        <v>61</v>
      </c>
      <c r="F655" s="2" t="s">
        <v>26</v>
      </c>
      <c r="G655" s="2" t="s">
        <v>33</v>
      </c>
      <c r="H655" s="2" t="s">
        <v>28</v>
      </c>
      <c r="I655" s="2" t="s">
        <v>30</v>
      </c>
      <c r="J655" s="2">
        <v>2219.0</v>
      </c>
      <c r="K655" s="2">
        <v>1247.0</v>
      </c>
      <c r="L655" s="2">
        <v>468.0</v>
      </c>
      <c r="M655" s="2">
        <v>444.0</v>
      </c>
      <c r="N655" s="2">
        <v>291.0</v>
      </c>
      <c r="O655" s="2">
        <v>383.0</v>
      </c>
      <c r="P655" s="2">
        <v>350.0</v>
      </c>
      <c r="Q655" s="2">
        <v>58.0</v>
      </c>
      <c r="R655" s="2">
        <v>3500.0</v>
      </c>
      <c r="S655" s="2">
        <v>1721.0</v>
      </c>
      <c r="T655" s="2">
        <v>1779.0</v>
      </c>
      <c r="U655" s="2">
        <v>1721.0</v>
      </c>
      <c r="V655" s="2">
        <v>0.0</v>
      </c>
      <c r="W655" s="2">
        <v>1779.0</v>
      </c>
    </row>
    <row r="656" ht="15.0" customHeight="1">
      <c r="A656" s="2">
        <v>2025.0</v>
      </c>
      <c r="B656" s="2" t="s">
        <v>65</v>
      </c>
      <c r="C656" s="2">
        <v>2.0</v>
      </c>
      <c r="D656" s="2" t="s">
        <v>66</v>
      </c>
      <c r="E656" s="2" t="s">
        <v>61</v>
      </c>
      <c r="F656" s="2" t="s">
        <v>26</v>
      </c>
      <c r="G656" s="2" t="s">
        <v>33</v>
      </c>
      <c r="H656" s="2" t="s">
        <v>28</v>
      </c>
      <c r="I656" s="2" t="s">
        <v>31</v>
      </c>
      <c r="J656" s="2">
        <v>216.0</v>
      </c>
      <c r="K656" s="2">
        <v>108.0</v>
      </c>
      <c r="L656" s="2">
        <v>90.0</v>
      </c>
      <c r="M656" s="2">
        <v>77.0</v>
      </c>
      <c r="N656" s="2">
        <v>48.0</v>
      </c>
      <c r="O656" s="2">
        <v>59.0</v>
      </c>
      <c r="P656" s="2">
        <v>57.0</v>
      </c>
      <c r="Q656" s="2">
        <v>14.0</v>
      </c>
      <c r="R656" s="2">
        <v>560.0</v>
      </c>
      <c r="S656" s="2">
        <v>44.0</v>
      </c>
      <c r="T656" s="2">
        <v>516.0</v>
      </c>
      <c r="U656" s="2">
        <v>44.0</v>
      </c>
      <c r="V656" s="2">
        <v>0.0</v>
      </c>
      <c r="W656" s="2">
        <v>516.0</v>
      </c>
    </row>
    <row r="657" ht="15.0" customHeight="1">
      <c r="A657" s="2">
        <v>2025.0</v>
      </c>
      <c r="B657" s="2" t="s">
        <v>65</v>
      </c>
      <c r="C657" s="2">
        <v>2.0</v>
      </c>
      <c r="D657" s="2" t="s">
        <v>66</v>
      </c>
      <c r="E657" s="2" t="s">
        <v>61</v>
      </c>
      <c r="F657" s="2" t="s">
        <v>26</v>
      </c>
      <c r="G657" s="2" t="s">
        <v>34</v>
      </c>
      <c r="H657" s="2" t="s">
        <v>35</v>
      </c>
      <c r="I657" s="2" t="s">
        <v>29</v>
      </c>
      <c r="J657" s="2">
        <v>10581.0</v>
      </c>
      <c r="K657" s="2">
        <v>6810.0</v>
      </c>
      <c r="L657" s="2">
        <v>3278.0</v>
      </c>
      <c r="M657" s="2">
        <v>3168.0</v>
      </c>
      <c r="N657" s="2">
        <v>1155.0</v>
      </c>
      <c r="O657" s="2">
        <v>1499.0</v>
      </c>
      <c r="P657" s="2">
        <v>1173.0</v>
      </c>
      <c r="Q657" s="2">
        <v>171.0</v>
      </c>
      <c r="R657" s="2">
        <v>13602.0</v>
      </c>
      <c r="S657" s="2">
        <v>7871.0</v>
      </c>
      <c r="T657" s="2">
        <v>5730.0</v>
      </c>
      <c r="U657" s="2">
        <v>7776.0</v>
      </c>
      <c r="V657" s="2">
        <v>96.0</v>
      </c>
      <c r="W657" s="2">
        <v>5826.0</v>
      </c>
    </row>
    <row r="658" ht="15.0" customHeight="1">
      <c r="A658" s="2">
        <v>2025.0</v>
      </c>
      <c r="B658" s="2" t="s">
        <v>65</v>
      </c>
      <c r="C658" s="2">
        <v>2.0</v>
      </c>
      <c r="D658" s="2" t="s">
        <v>66</v>
      </c>
      <c r="E658" s="2" t="s">
        <v>61</v>
      </c>
      <c r="F658" s="2" t="s">
        <v>26</v>
      </c>
      <c r="G658" s="2" t="s">
        <v>34</v>
      </c>
      <c r="H658" s="2" t="s">
        <v>35</v>
      </c>
      <c r="I658" s="2" t="s">
        <v>30</v>
      </c>
      <c r="J658" s="2">
        <v>3407.0</v>
      </c>
      <c r="K658" s="2">
        <v>1864.0</v>
      </c>
      <c r="L658" s="2">
        <v>834.0</v>
      </c>
      <c r="M658" s="2">
        <v>797.0</v>
      </c>
      <c r="N658" s="2">
        <v>310.0</v>
      </c>
      <c r="O658" s="2">
        <v>399.0</v>
      </c>
      <c r="P658" s="2">
        <v>331.0</v>
      </c>
      <c r="Q658" s="2">
        <v>41.0</v>
      </c>
      <c r="R658" s="2">
        <v>3972.0</v>
      </c>
      <c r="S658" s="2">
        <v>2033.0</v>
      </c>
      <c r="T658" s="2">
        <v>1939.0</v>
      </c>
      <c r="U658" s="2">
        <v>2033.0</v>
      </c>
      <c r="V658" s="2">
        <v>0.0</v>
      </c>
      <c r="W658" s="2">
        <v>1939.0</v>
      </c>
    </row>
    <row r="659" ht="15.0" customHeight="1">
      <c r="A659" s="2">
        <v>2025.0</v>
      </c>
      <c r="B659" s="2" t="s">
        <v>65</v>
      </c>
      <c r="C659" s="2">
        <v>2.0</v>
      </c>
      <c r="D659" s="2" t="s">
        <v>66</v>
      </c>
      <c r="E659" s="2" t="s">
        <v>61</v>
      </c>
      <c r="F659" s="2" t="s">
        <v>26</v>
      </c>
      <c r="G659" s="2" t="s">
        <v>34</v>
      </c>
      <c r="H659" s="2" t="s">
        <v>35</v>
      </c>
      <c r="I659" s="2" t="s">
        <v>31</v>
      </c>
      <c r="J659" s="2">
        <v>827.0</v>
      </c>
      <c r="K659" s="2">
        <v>559.0</v>
      </c>
      <c r="L659" s="2">
        <v>307.0</v>
      </c>
      <c r="M659" s="2">
        <v>276.0</v>
      </c>
      <c r="N659" s="2">
        <v>94.0</v>
      </c>
      <c r="O659" s="2">
        <v>129.0</v>
      </c>
      <c r="P659" s="2">
        <v>107.0</v>
      </c>
      <c r="Q659" s="2">
        <v>11.0</v>
      </c>
      <c r="R659" s="2">
        <v>1267.0</v>
      </c>
      <c r="S659" s="2">
        <v>0.0</v>
      </c>
      <c r="T659" s="2">
        <v>1267.0</v>
      </c>
      <c r="U659" s="2">
        <v>0.0</v>
      </c>
      <c r="V659" s="2">
        <v>0.0</v>
      </c>
      <c r="W659" s="2">
        <v>1267.0</v>
      </c>
    </row>
    <row r="660" ht="15.0" customHeight="1">
      <c r="A660" s="2">
        <v>2025.0</v>
      </c>
      <c r="B660" s="2" t="s">
        <v>65</v>
      </c>
      <c r="C660" s="2">
        <v>2.0</v>
      </c>
      <c r="D660" s="2" t="s">
        <v>66</v>
      </c>
      <c r="E660" s="2" t="s">
        <v>61</v>
      </c>
      <c r="F660" s="2" t="s">
        <v>26</v>
      </c>
      <c r="G660" s="2" t="s">
        <v>36</v>
      </c>
      <c r="H660" s="2" t="s">
        <v>35</v>
      </c>
      <c r="I660" s="2" t="s">
        <v>29</v>
      </c>
      <c r="J660" s="2">
        <v>5703.0</v>
      </c>
      <c r="K660" s="2">
        <v>3915.0</v>
      </c>
      <c r="L660" s="2">
        <v>2220.0</v>
      </c>
      <c r="M660" s="2">
        <v>2167.0</v>
      </c>
      <c r="N660" s="2">
        <v>919.0</v>
      </c>
      <c r="O660" s="2">
        <v>1209.0</v>
      </c>
      <c r="P660" s="2">
        <v>943.0</v>
      </c>
      <c r="Q660" s="2">
        <v>0.0</v>
      </c>
      <c r="R660" s="2">
        <v>10150.0</v>
      </c>
      <c r="S660" s="2">
        <v>5734.0</v>
      </c>
      <c r="T660" s="2">
        <v>4416.0</v>
      </c>
      <c r="U660" s="2">
        <v>5734.0</v>
      </c>
      <c r="V660" s="2">
        <v>0.0</v>
      </c>
      <c r="W660" s="2">
        <v>4416.0</v>
      </c>
    </row>
    <row r="661" ht="15.0" customHeight="1">
      <c r="A661" s="2">
        <v>2025.0</v>
      </c>
      <c r="B661" s="2" t="s">
        <v>65</v>
      </c>
      <c r="C661" s="2">
        <v>2.0</v>
      </c>
      <c r="D661" s="2" t="s">
        <v>66</v>
      </c>
      <c r="E661" s="2" t="s">
        <v>61</v>
      </c>
      <c r="F661" s="2" t="s">
        <v>26</v>
      </c>
      <c r="G661" s="2" t="s">
        <v>36</v>
      </c>
      <c r="H661" s="2" t="s">
        <v>35</v>
      </c>
      <c r="I661" s="2" t="s">
        <v>30</v>
      </c>
      <c r="J661" s="2">
        <v>891.0</v>
      </c>
      <c r="K661" s="2">
        <v>442.0</v>
      </c>
      <c r="L661" s="2">
        <v>210.0</v>
      </c>
      <c r="M661" s="2">
        <v>201.0</v>
      </c>
      <c r="N661" s="2">
        <v>75.0</v>
      </c>
      <c r="O661" s="2">
        <v>101.0</v>
      </c>
      <c r="P661" s="2">
        <v>80.0</v>
      </c>
      <c r="Q661" s="2">
        <v>0.0</v>
      </c>
      <c r="R661" s="2">
        <v>865.0</v>
      </c>
      <c r="S661" s="2">
        <v>696.0</v>
      </c>
      <c r="T661" s="2">
        <v>169.0</v>
      </c>
      <c r="U661" s="2">
        <v>696.0</v>
      </c>
      <c r="V661" s="2">
        <v>0.0</v>
      </c>
      <c r="W661" s="2">
        <v>169.0</v>
      </c>
    </row>
    <row r="662" ht="15.0" customHeight="1">
      <c r="A662" s="2">
        <v>2025.0</v>
      </c>
      <c r="B662" s="2" t="s">
        <v>65</v>
      </c>
      <c r="C662" s="2">
        <v>2.0</v>
      </c>
      <c r="D662" s="2" t="s">
        <v>66</v>
      </c>
      <c r="E662" s="2" t="s">
        <v>61</v>
      </c>
      <c r="F662" s="2" t="s">
        <v>26</v>
      </c>
      <c r="G662" s="2" t="s">
        <v>36</v>
      </c>
      <c r="H662" s="2" t="s">
        <v>35</v>
      </c>
      <c r="I662" s="2" t="s">
        <v>31</v>
      </c>
      <c r="J662" s="2">
        <v>531.0</v>
      </c>
      <c r="K662" s="2">
        <v>360.0</v>
      </c>
      <c r="L662" s="2">
        <v>219.0</v>
      </c>
      <c r="M662" s="2">
        <v>199.0</v>
      </c>
      <c r="N662" s="2">
        <v>90.0</v>
      </c>
      <c r="O662" s="2">
        <v>141.0</v>
      </c>
      <c r="P662" s="2">
        <v>118.0</v>
      </c>
      <c r="Q662" s="2">
        <v>0.0</v>
      </c>
      <c r="R662" s="2">
        <v>1281.0</v>
      </c>
      <c r="S662" s="2">
        <v>0.0</v>
      </c>
      <c r="T662" s="2">
        <v>1281.0</v>
      </c>
      <c r="U662" s="2">
        <v>0.0</v>
      </c>
      <c r="V662" s="2">
        <v>0.0</v>
      </c>
      <c r="W662" s="2">
        <v>1281.0</v>
      </c>
    </row>
    <row r="663" ht="15.0" customHeight="1">
      <c r="A663" s="2">
        <v>2025.0</v>
      </c>
      <c r="B663" s="2" t="s">
        <v>65</v>
      </c>
      <c r="C663" s="2">
        <v>2.0</v>
      </c>
      <c r="D663" s="2" t="s">
        <v>66</v>
      </c>
      <c r="E663" s="2" t="s">
        <v>61</v>
      </c>
      <c r="F663" s="2" t="s">
        <v>26</v>
      </c>
      <c r="G663" s="2" t="s">
        <v>37</v>
      </c>
      <c r="H663" s="2" t="s">
        <v>35</v>
      </c>
      <c r="I663" s="2" t="s">
        <v>29</v>
      </c>
      <c r="J663" s="2">
        <v>1164.0</v>
      </c>
      <c r="K663" s="2">
        <v>593.0</v>
      </c>
      <c r="L663" s="2">
        <v>273.0</v>
      </c>
      <c r="M663" s="2">
        <v>247.0</v>
      </c>
      <c r="N663" s="2">
        <v>197.0</v>
      </c>
      <c r="O663" s="2">
        <v>527.0</v>
      </c>
      <c r="P663" s="2">
        <v>409.0</v>
      </c>
      <c r="Q663" s="2">
        <v>0.0</v>
      </c>
      <c r="R663" s="2">
        <v>9305.0</v>
      </c>
      <c r="S663" s="2">
        <v>4855.0</v>
      </c>
      <c r="T663" s="2">
        <v>4450.0</v>
      </c>
      <c r="U663" s="2">
        <v>4855.0</v>
      </c>
      <c r="V663" s="2">
        <v>0.0</v>
      </c>
      <c r="W663" s="2">
        <v>4450.0</v>
      </c>
    </row>
    <row r="664" ht="15.0" customHeight="1">
      <c r="A664" s="2">
        <v>2025.0</v>
      </c>
      <c r="B664" s="2" t="s">
        <v>65</v>
      </c>
      <c r="C664" s="2">
        <v>2.0</v>
      </c>
      <c r="D664" s="2" t="s">
        <v>66</v>
      </c>
      <c r="E664" s="2" t="s">
        <v>61</v>
      </c>
      <c r="F664" s="2" t="s">
        <v>26</v>
      </c>
      <c r="G664" s="2" t="s">
        <v>37</v>
      </c>
      <c r="H664" s="2" t="s">
        <v>35</v>
      </c>
      <c r="I664" s="2" t="s">
        <v>31</v>
      </c>
      <c r="J664" s="2">
        <v>34.0</v>
      </c>
      <c r="K664" s="2">
        <v>23.0</v>
      </c>
      <c r="L664" s="2">
        <v>13.0</v>
      </c>
      <c r="M664" s="2">
        <v>11.0</v>
      </c>
      <c r="N664" s="2">
        <v>9.0</v>
      </c>
      <c r="O664" s="2">
        <v>24.0</v>
      </c>
      <c r="P664" s="2">
        <v>18.0</v>
      </c>
      <c r="Q664" s="2">
        <v>0.0</v>
      </c>
      <c r="R664" s="2">
        <v>444.0</v>
      </c>
      <c r="S664" s="2">
        <v>0.0</v>
      </c>
      <c r="T664" s="2">
        <v>444.0</v>
      </c>
      <c r="U664" s="2">
        <v>0.0</v>
      </c>
      <c r="V664" s="2">
        <v>0.0</v>
      </c>
      <c r="W664" s="2">
        <v>444.0</v>
      </c>
    </row>
    <row r="665" ht="15.0" customHeight="1">
      <c r="A665" s="2">
        <v>2025.0</v>
      </c>
      <c r="B665" s="2" t="s">
        <v>65</v>
      </c>
      <c r="C665" s="2">
        <v>2.0</v>
      </c>
      <c r="D665" s="2" t="s">
        <v>66</v>
      </c>
      <c r="E665" s="2" t="s">
        <v>61</v>
      </c>
      <c r="F665" s="2" t="s">
        <v>26</v>
      </c>
      <c r="G665" s="2" t="s">
        <v>38</v>
      </c>
      <c r="H665" s="2" t="s">
        <v>35</v>
      </c>
      <c r="I665" s="2" t="s">
        <v>29</v>
      </c>
      <c r="J665" s="2">
        <v>3863.0</v>
      </c>
      <c r="K665" s="2">
        <v>2245.0</v>
      </c>
      <c r="L665" s="2">
        <v>1168.0</v>
      </c>
      <c r="M665" s="2">
        <v>1122.0</v>
      </c>
      <c r="N665" s="2">
        <v>802.0</v>
      </c>
      <c r="O665" s="2">
        <v>1333.0</v>
      </c>
      <c r="P665" s="2">
        <v>1038.0</v>
      </c>
      <c r="Q665" s="2">
        <v>56.0</v>
      </c>
      <c r="R665" s="2">
        <v>14172.0</v>
      </c>
      <c r="S665" s="2">
        <v>6555.0</v>
      </c>
      <c r="T665" s="2">
        <v>7617.0</v>
      </c>
      <c r="U665" s="2">
        <v>6532.0</v>
      </c>
      <c r="V665" s="2">
        <v>24.0</v>
      </c>
      <c r="W665" s="2">
        <v>7640.0</v>
      </c>
    </row>
    <row r="666" ht="15.0" customHeight="1">
      <c r="A666" s="2">
        <v>2025.0</v>
      </c>
      <c r="B666" s="2" t="s">
        <v>65</v>
      </c>
      <c r="C666" s="2">
        <v>2.0</v>
      </c>
      <c r="D666" s="2" t="s">
        <v>66</v>
      </c>
      <c r="E666" s="2" t="s">
        <v>61</v>
      </c>
      <c r="F666" s="2" t="s">
        <v>26</v>
      </c>
      <c r="G666" s="2" t="s">
        <v>38</v>
      </c>
      <c r="H666" s="2" t="s">
        <v>35</v>
      </c>
      <c r="I666" s="2" t="s">
        <v>30</v>
      </c>
      <c r="J666" s="2">
        <v>3970.0</v>
      </c>
      <c r="K666" s="2">
        <v>1624.0</v>
      </c>
      <c r="L666" s="2">
        <v>1017.0</v>
      </c>
      <c r="M666" s="2">
        <v>999.0</v>
      </c>
      <c r="N666" s="2">
        <v>647.0</v>
      </c>
      <c r="O666" s="2">
        <v>1032.0</v>
      </c>
      <c r="P666" s="2">
        <v>786.0</v>
      </c>
      <c r="Q666" s="2">
        <v>33.0</v>
      </c>
      <c r="R666" s="2">
        <v>10384.0</v>
      </c>
      <c r="S666" s="2">
        <v>7862.0</v>
      </c>
      <c r="T666" s="2">
        <v>2522.0</v>
      </c>
      <c r="U666" s="2">
        <v>7862.0</v>
      </c>
      <c r="V666" s="2">
        <v>0.0</v>
      </c>
      <c r="W666" s="2">
        <v>2522.0</v>
      </c>
    </row>
    <row r="667" ht="15.0" customHeight="1">
      <c r="A667" s="2">
        <v>2025.0</v>
      </c>
      <c r="B667" s="2" t="s">
        <v>65</v>
      </c>
      <c r="C667" s="2">
        <v>2.0</v>
      </c>
      <c r="D667" s="2" t="s">
        <v>66</v>
      </c>
      <c r="E667" s="2" t="s">
        <v>61</v>
      </c>
      <c r="F667" s="2" t="s">
        <v>26</v>
      </c>
      <c r="G667" s="2" t="s">
        <v>38</v>
      </c>
      <c r="H667" s="2" t="s">
        <v>35</v>
      </c>
      <c r="I667" s="2" t="s">
        <v>31</v>
      </c>
      <c r="J667" s="2">
        <v>880.0</v>
      </c>
      <c r="K667" s="2">
        <v>311.0</v>
      </c>
      <c r="L667" s="2">
        <v>192.0</v>
      </c>
      <c r="M667" s="2">
        <v>179.0</v>
      </c>
      <c r="N667" s="2">
        <v>119.0</v>
      </c>
      <c r="O667" s="2">
        <v>220.0</v>
      </c>
      <c r="P667" s="2">
        <v>174.0</v>
      </c>
      <c r="Q667" s="2">
        <v>12.0</v>
      </c>
      <c r="R667" s="2">
        <v>2377.0</v>
      </c>
      <c r="S667" s="2">
        <v>10.0</v>
      </c>
      <c r="T667" s="2">
        <v>2367.0</v>
      </c>
      <c r="U667" s="2">
        <v>10.0</v>
      </c>
      <c r="V667" s="2">
        <v>0.0</v>
      </c>
      <c r="W667" s="2">
        <v>2367.0</v>
      </c>
    </row>
    <row r="668" ht="15.0" customHeight="1">
      <c r="A668" s="2">
        <v>2025.0</v>
      </c>
      <c r="B668" s="2" t="s">
        <v>65</v>
      </c>
      <c r="C668" s="2">
        <v>2.0</v>
      </c>
      <c r="D668" s="2" t="s">
        <v>66</v>
      </c>
      <c r="E668" s="2" t="s">
        <v>61</v>
      </c>
      <c r="F668" s="2" t="s">
        <v>26</v>
      </c>
      <c r="G668" s="2" t="s">
        <v>39</v>
      </c>
      <c r="H668" s="2" t="s">
        <v>40</v>
      </c>
      <c r="I668" s="2" t="s">
        <v>29</v>
      </c>
      <c r="J668" s="2">
        <v>9142.0</v>
      </c>
      <c r="K668" s="2">
        <v>5880.0</v>
      </c>
      <c r="L668" s="2">
        <v>3380.0</v>
      </c>
      <c r="M668" s="2">
        <v>3189.0</v>
      </c>
      <c r="N668" s="2">
        <v>1308.0</v>
      </c>
      <c r="O668" s="2">
        <v>1617.0</v>
      </c>
      <c r="P668" s="2">
        <v>1087.0</v>
      </c>
      <c r="Q668" s="2">
        <v>16.0</v>
      </c>
      <c r="R668" s="2">
        <v>14657.0</v>
      </c>
      <c r="S668" s="2">
        <v>7891.0</v>
      </c>
      <c r="T668" s="2">
        <v>6766.0</v>
      </c>
      <c r="U668" s="2">
        <v>7891.0</v>
      </c>
      <c r="V668" s="2">
        <v>0.0</v>
      </c>
      <c r="W668" s="2">
        <v>6766.0</v>
      </c>
    </row>
    <row r="669" ht="15.0" customHeight="1">
      <c r="A669" s="2">
        <v>2025.0</v>
      </c>
      <c r="B669" s="2" t="s">
        <v>65</v>
      </c>
      <c r="C669" s="2">
        <v>2.0</v>
      </c>
      <c r="D669" s="2" t="s">
        <v>66</v>
      </c>
      <c r="E669" s="2" t="s">
        <v>61</v>
      </c>
      <c r="F669" s="2" t="s">
        <v>26</v>
      </c>
      <c r="G669" s="2" t="s">
        <v>39</v>
      </c>
      <c r="H669" s="2" t="s">
        <v>40</v>
      </c>
      <c r="I669" s="2" t="s">
        <v>30</v>
      </c>
      <c r="J669" s="2">
        <v>1437.0</v>
      </c>
      <c r="K669" s="2">
        <v>737.0</v>
      </c>
      <c r="L669" s="2">
        <v>309.0</v>
      </c>
      <c r="M669" s="2">
        <v>284.0</v>
      </c>
      <c r="N669" s="2">
        <v>114.0</v>
      </c>
      <c r="O669" s="2">
        <v>137.0</v>
      </c>
      <c r="P669" s="2">
        <v>95.0</v>
      </c>
      <c r="Q669" s="2">
        <v>1.0</v>
      </c>
      <c r="R669" s="2">
        <v>1259.0</v>
      </c>
      <c r="S669" s="2">
        <v>730.0</v>
      </c>
      <c r="T669" s="2">
        <v>529.0</v>
      </c>
      <c r="U669" s="2">
        <v>730.0</v>
      </c>
      <c r="V669" s="2">
        <v>0.0</v>
      </c>
      <c r="W669" s="2">
        <v>529.0</v>
      </c>
    </row>
    <row r="670" ht="15.0" customHeight="1">
      <c r="A670" s="2">
        <v>2025.0</v>
      </c>
      <c r="B670" s="2" t="s">
        <v>65</v>
      </c>
      <c r="C670" s="2">
        <v>2.0</v>
      </c>
      <c r="D670" s="2" t="s">
        <v>66</v>
      </c>
      <c r="E670" s="2" t="s">
        <v>61</v>
      </c>
      <c r="F670" s="2" t="s">
        <v>26</v>
      </c>
      <c r="G670" s="2" t="s">
        <v>39</v>
      </c>
      <c r="H670" s="2" t="s">
        <v>40</v>
      </c>
      <c r="I670" s="2" t="s">
        <v>31</v>
      </c>
      <c r="J670" s="2">
        <v>2129.0</v>
      </c>
      <c r="K670" s="2">
        <v>1408.0</v>
      </c>
      <c r="L670" s="2">
        <v>717.0</v>
      </c>
      <c r="M670" s="2">
        <v>629.0</v>
      </c>
      <c r="N670" s="2">
        <v>285.0</v>
      </c>
      <c r="O670" s="2">
        <v>378.0</v>
      </c>
      <c r="P670" s="2">
        <v>257.0</v>
      </c>
      <c r="Q670" s="2">
        <v>7.0</v>
      </c>
      <c r="R670" s="2">
        <v>3395.0</v>
      </c>
      <c r="S670" s="2">
        <v>0.0</v>
      </c>
      <c r="T670" s="2">
        <v>3395.0</v>
      </c>
      <c r="U670" s="2">
        <v>0.0</v>
      </c>
      <c r="V670" s="2">
        <v>0.0</v>
      </c>
      <c r="W670" s="2">
        <v>3395.0</v>
      </c>
    </row>
    <row r="671" ht="15.0" customHeight="1">
      <c r="A671" s="2">
        <v>2025.0</v>
      </c>
      <c r="B671" s="2" t="s">
        <v>65</v>
      </c>
      <c r="C671" s="2">
        <v>2.0</v>
      </c>
      <c r="D671" s="2" t="s">
        <v>66</v>
      </c>
      <c r="E671" s="2" t="s">
        <v>61</v>
      </c>
      <c r="F671" s="2" t="s">
        <v>26</v>
      </c>
      <c r="G671" s="2" t="s">
        <v>41</v>
      </c>
      <c r="H671" s="2" t="s">
        <v>42</v>
      </c>
      <c r="I671" s="2" t="s">
        <v>29</v>
      </c>
      <c r="J671" s="2">
        <v>16010.0</v>
      </c>
      <c r="K671" s="2">
        <v>8834.0</v>
      </c>
      <c r="L671" s="2">
        <v>4330.0</v>
      </c>
      <c r="M671" s="2">
        <v>4103.0</v>
      </c>
      <c r="N671" s="2">
        <v>2680.0</v>
      </c>
      <c r="O671" s="2">
        <v>3665.0</v>
      </c>
      <c r="P671" s="2">
        <v>2830.0</v>
      </c>
      <c r="Q671" s="2">
        <v>32.0</v>
      </c>
      <c r="R671" s="2">
        <v>23274.0</v>
      </c>
      <c r="S671" s="2">
        <v>9288.0</v>
      </c>
      <c r="T671" s="2">
        <v>13986.0</v>
      </c>
      <c r="U671" s="2">
        <v>9188.0</v>
      </c>
      <c r="V671" s="2">
        <v>100.0</v>
      </c>
      <c r="W671" s="2">
        <v>14086.0</v>
      </c>
    </row>
    <row r="672" ht="15.0" customHeight="1">
      <c r="A672" s="2">
        <v>2025.0</v>
      </c>
      <c r="B672" s="2" t="s">
        <v>65</v>
      </c>
      <c r="C672" s="2">
        <v>2.0</v>
      </c>
      <c r="D672" s="2" t="s">
        <v>66</v>
      </c>
      <c r="E672" s="2" t="s">
        <v>61</v>
      </c>
      <c r="F672" s="2" t="s">
        <v>26</v>
      </c>
      <c r="G672" s="2" t="s">
        <v>41</v>
      </c>
      <c r="H672" s="2" t="s">
        <v>42</v>
      </c>
      <c r="I672" s="2" t="s">
        <v>30</v>
      </c>
      <c r="J672" s="2">
        <v>7511.0</v>
      </c>
      <c r="K672" s="2">
        <v>3598.0</v>
      </c>
      <c r="L672" s="2">
        <v>2001.0</v>
      </c>
      <c r="M672" s="2">
        <v>1888.0</v>
      </c>
      <c r="N672" s="2">
        <v>1250.0</v>
      </c>
      <c r="O672" s="2">
        <v>1624.0</v>
      </c>
      <c r="P672" s="2">
        <v>1290.0</v>
      </c>
      <c r="Q672" s="2">
        <v>11.0</v>
      </c>
      <c r="R672" s="2">
        <v>10129.0</v>
      </c>
      <c r="S672" s="2">
        <v>6423.0</v>
      </c>
      <c r="T672" s="2">
        <v>3707.0</v>
      </c>
      <c r="U672" s="2">
        <v>6423.0</v>
      </c>
      <c r="V672" s="2">
        <v>0.0</v>
      </c>
      <c r="W672" s="2">
        <v>3707.0</v>
      </c>
    </row>
    <row r="673" ht="15.0" customHeight="1">
      <c r="A673" s="2">
        <v>2025.0</v>
      </c>
      <c r="B673" s="2" t="s">
        <v>65</v>
      </c>
      <c r="C673" s="2">
        <v>2.0</v>
      </c>
      <c r="D673" s="2" t="s">
        <v>66</v>
      </c>
      <c r="E673" s="2" t="s">
        <v>61</v>
      </c>
      <c r="F673" s="2" t="s">
        <v>26</v>
      </c>
      <c r="G673" s="2" t="s">
        <v>41</v>
      </c>
      <c r="H673" s="2" t="s">
        <v>42</v>
      </c>
      <c r="I673" s="2" t="s">
        <v>31</v>
      </c>
      <c r="J673" s="2">
        <v>8927.0</v>
      </c>
      <c r="K673" s="2">
        <v>5272.0</v>
      </c>
      <c r="L673" s="2">
        <v>4096.0</v>
      </c>
      <c r="M673" s="2">
        <v>3720.0</v>
      </c>
      <c r="N673" s="2">
        <v>2297.0</v>
      </c>
      <c r="O673" s="2">
        <v>3033.0</v>
      </c>
      <c r="P673" s="2">
        <v>2421.0</v>
      </c>
      <c r="Q673" s="2">
        <v>26.0</v>
      </c>
      <c r="R673" s="2">
        <v>19444.0</v>
      </c>
      <c r="S673" s="2">
        <v>480.0</v>
      </c>
      <c r="T673" s="2">
        <v>18964.0</v>
      </c>
      <c r="U673" s="2">
        <v>480.0</v>
      </c>
      <c r="V673" s="2">
        <v>0.0</v>
      </c>
      <c r="W673" s="2">
        <v>18964.0</v>
      </c>
    </row>
    <row r="674" ht="15.0" customHeight="1">
      <c r="A674" s="2">
        <v>2025.0</v>
      </c>
      <c r="B674" s="2" t="s">
        <v>65</v>
      </c>
      <c r="C674" s="2">
        <v>2.0</v>
      </c>
      <c r="D674" s="2" t="s">
        <v>66</v>
      </c>
      <c r="E674" s="2" t="s">
        <v>61</v>
      </c>
      <c r="F674" s="2" t="s">
        <v>26</v>
      </c>
      <c r="G674" s="2" t="s">
        <v>43</v>
      </c>
      <c r="H674" s="2" t="s">
        <v>42</v>
      </c>
      <c r="I674" s="2" t="s">
        <v>29</v>
      </c>
      <c r="J674" s="2">
        <v>3131.0</v>
      </c>
      <c r="K674" s="2">
        <v>1445.0</v>
      </c>
      <c r="L674" s="2">
        <v>741.0</v>
      </c>
      <c r="M674" s="2">
        <v>705.0</v>
      </c>
      <c r="N674" s="2">
        <v>252.0</v>
      </c>
      <c r="O674" s="2">
        <v>512.0</v>
      </c>
      <c r="P674" s="2">
        <v>347.0</v>
      </c>
      <c r="Q674" s="2">
        <v>0.0</v>
      </c>
      <c r="R674" s="2">
        <v>10657.0</v>
      </c>
      <c r="S674" s="2">
        <v>6920.0</v>
      </c>
      <c r="T674" s="2">
        <v>3737.0</v>
      </c>
      <c r="U674" s="2">
        <v>6519.0</v>
      </c>
      <c r="V674" s="2">
        <v>400.0</v>
      </c>
      <c r="W674" s="2">
        <v>4137.0</v>
      </c>
    </row>
    <row r="675" ht="15.0" customHeight="1">
      <c r="A675" s="2">
        <v>2025.0</v>
      </c>
      <c r="B675" s="2" t="s">
        <v>65</v>
      </c>
      <c r="C675" s="2">
        <v>2.0</v>
      </c>
      <c r="D675" s="2" t="s">
        <v>66</v>
      </c>
      <c r="E675" s="2" t="s">
        <v>61</v>
      </c>
      <c r="F675" s="2" t="s">
        <v>26</v>
      </c>
      <c r="G675" s="2" t="s">
        <v>43</v>
      </c>
      <c r="H675" s="2" t="s">
        <v>42</v>
      </c>
      <c r="I675" s="2" t="s">
        <v>30</v>
      </c>
      <c r="J675" s="2">
        <v>854.0</v>
      </c>
      <c r="K675" s="2">
        <v>283.0</v>
      </c>
      <c r="L675" s="2">
        <v>114.0</v>
      </c>
      <c r="M675" s="2">
        <v>100.0</v>
      </c>
      <c r="N675" s="2">
        <v>36.0</v>
      </c>
      <c r="O675" s="2">
        <v>90.0</v>
      </c>
      <c r="P675" s="2">
        <v>71.0</v>
      </c>
      <c r="Q675" s="2">
        <v>0.0</v>
      </c>
      <c r="R675" s="2">
        <v>2499.0</v>
      </c>
      <c r="S675" s="2">
        <v>1804.0</v>
      </c>
      <c r="T675" s="2">
        <v>695.0</v>
      </c>
      <c r="U675" s="2">
        <v>1804.0</v>
      </c>
      <c r="V675" s="2">
        <v>0.0</v>
      </c>
      <c r="W675" s="2">
        <v>695.0</v>
      </c>
    </row>
    <row r="676" ht="15.0" customHeight="1">
      <c r="A676" s="2">
        <v>2025.0</v>
      </c>
      <c r="B676" s="2" t="s">
        <v>65</v>
      </c>
      <c r="C676" s="2">
        <v>2.0</v>
      </c>
      <c r="D676" s="2" t="s">
        <v>66</v>
      </c>
      <c r="E676" s="2" t="s">
        <v>61</v>
      </c>
      <c r="F676" s="2" t="s">
        <v>26</v>
      </c>
      <c r="G676" s="2" t="s">
        <v>43</v>
      </c>
      <c r="H676" s="2" t="s">
        <v>42</v>
      </c>
      <c r="I676" s="2" t="s">
        <v>31</v>
      </c>
      <c r="J676" s="2">
        <v>173.0</v>
      </c>
      <c r="K676" s="2">
        <v>121.0</v>
      </c>
      <c r="L676" s="2">
        <v>80.0</v>
      </c>
      <c r="M676" s="2">
        <v>69.0</v>
      </c>
      <c r="N676" s="2">
        <v>31.0</v>
      </c>
      <c r="O676" s="2">
        <v>55.0</v>
      </c>
      <c r="P676" s="2">
        <v>47.0</v>
      </c>
      <c r="Q676" s="2">
        <v>0.0</v>
      </c>
      <c r="R676" s="2">
        <v>1624.0</v>
      </c>
      <c r="S676" s="2">
        <v>0.0</v>
      </c>
      <c r="T676" s="2">
        <v>1624.0</v>
      </c>
      <c r="U676" s="2">
        <v>0.0</v>
      </c>
      <c r="V676" s="2">
        <v>0.0</v>
      </c>
      <c r="W676" s="2">
        <v>1624.0</v>
      </c>
    </row>
    <row r="677" ht="15.0" customHeight="1">
      <c r="A677" s="2">
        <v>2025.0</v>
      </c>
      <c r="B677" s="2" t="s">
        <v>65</v>
      </c>
      <c r="C677" s="2">
        <v>2.0</v>
      </c>
      <c r="D677" s="2" t="s">
        <v>66</v>
      </c>
      <c r="E677" s="2" t="s">
        <v>61</v>
      </c>
      <c r="F677" s="2" t="s">
        <v>26</v>
      </c>
      <c r="G677" s="2" t="s">
        <v>44</v>
      </c>
      <c r="H677" s="2" t="s">
        <v>45</v>
      </c>
      <c r="I677" s="2" t="s">
        <v>29</v>
      </c>
      <c r="J677" s="2">
        <v>5858.0</v>
      </c>
      <c r="K677" s="2">
        <v>3137.0</v>
      </c>
      <c r="L677" s="2">
        <v>983.0</v>
      </c>
      <c r="M677" s="2">
        <v>934.0</v>
      </c>
      <c r="N677" s="2">
        <v>835.0</v>
      </c>
      <c r="O677" s="2">
        <v>1594.0</v>
      </c>
      <c r="P677" s="2">
        <v>1298.0</v>
      </c>
      <c r="Q677" s="2">
        <v>668.0</v>
      </c>
      <c r="R677" s="2">
        <v>40685.0</v>
      </c>
      <c r="S677" s="2">
        <v>26803.0</v>
      </c>
      <c r="T677" s="2">
        <v>13883.0</v>
      </c>
      <c r="U677" s="2">
        <v>26749.0</v>
      </c>
      <c r="V677" s="2">
        <v>53.0</v>
      </c>
      <c r="W677" s="2">
        <v>13936.0</v>
      </c>
    </row>
    <row r="678" ht="15.0" customHeight="1">
      <c r="A678" s="2">
        <v>2025.0</v>
      </c>
      <c r="B678" s="2" t="s">
        <v>65</v>
      </c>
      <c r="C678" s="2">
        <v>2.0</v>
      </c>
      <c r="D678" s="2" t="s">
        <v>66</v>
      </c>
      <c r="E678" s="2" t="s">
        <v>61</v>
      </c>
      <c r="F678" s="2" t="s">
        <v>26</v>
      </c>
      <c r="G678" s="2" t="s">
        <v>44</v>
      </c>
      <c r="H678" s="2" t="s">
        <v>45</v>
      </c>
      <c r="I678" s="2" t="s">
        <v>30</v>
      </c>
      <c r="J678" s="2">
        <v>3066.0</v>
      </c>
      <c r="K678" s="2">
        <v>1240.0</v>
      </c>
      <c r="L678" s="2">
        <v>365.0</v>
      </c>
      <c r="M678" s="2">
        <v>355.0</v>
      </c>
      <c r="N678" s="2">
        <v>300.0</v>
      </c>
      <c r="O678" s="2">
        <v>552.0</v>
      </c>
      <c r="P678" s="2">
        <v>439.0</v>
      </c>
      <c r="Q678" s="2">
        <v>217.0</v>
      </c>
      <c r="R678" s="2">
        <v>12152.0</v>
      </c>
      <c r="S678" s="2">
        <v>8865.0</v>
      </c>
      <c r="T678" s="2">
        <v>3286.0</v>
      </c>
      <c r="U678" s="2">
        <v>8865.0</v>
      </c>
      <c r="V678" s="2">
        <v>0.0</v>
      </c>
      <c r="W678" s="2">
        <v>3286.0</v>
      </c>
    </row>
    <row r="679" ht="15.0" customHeight="1">
      <c r="A679" s="2">
        <v>2025.0</v>
      </c>
      <c r="B679" s="2" t="s">
        <v>65</v>
      </c>
      <c r="C679" s="2">
        <v>2.0</v>
      </c>
      <c r="D679" s="2" t="s">
        <v>66</v>
      </c>
      <c r="E679" s="2" t="s">
        <v>61</v>
      </c>
      <c r="F679" s="2" t="s">
        <v>26</v>
      </c>
      <c r="G679" s="2" t="s">
        <v>44</v>
      </c>
      <c r="H679" s="2" t="s">
        <v>45</v>
      </c>
      <c r="I679" s="2" t="s">
        <v>31</v>
      </c>
      <c r="J679" s="2">
        <v>648.0</v>
      </c>
      <c r="K679" s="2">
        <v>368.0</v>
      </c>
      <c r="L679" s="2">
        <v>119.0</v>
      </c>
      <c r="M679" s="2">
        <v>104.0</v>
      </c>
      <c r="N679" s="2">
        <v>95.0</v>
      </c>
      <c r="O679" s="2">
        <v>193.0</v>
      </c>
      <c r="P679" s="2">
        <v>155.0</v>
      </c>
      <c r="Q679" s="2">
        <v>77.0</v>
      </c>
      <c r="R679" s="2">
        <v>5124.0</v>
      </c>
      <c r="S679" s="2">
        <v>75.0</v>
      </c>
      <c r="T679" s="2">
        <v>5049.0</v>
      </c>
      <c r="U679" s="2">
        <v>75.0</v>
      </c>
      <c r="V679" s="2">
        <v>0.0</v>
      </c>
      <c r="W679" s="2">
        <v>5049.0</v>
      </c>
    </row>
    <row r="680" ht="15.0" customHeight="1">
      <c r="A680" s="2">
        <v>2025.0</v>
      </c>
      <c r="B680" s="2" t="s">
        <v>65</v>
      </c>
      <c r="C680" s="2">
        <v>2.0</v>
      </c>
      <c r="D680" s="2" t="s">
        <v>66</v>
      </c>
      <c r="E680" s="2" t="s">
        <v>61</v>
      </c>
      <c r="F680" s="2" t="s">
        <v>26</v>
      </c>
      <c r="G680" s="2" t="s">
        <v>46</v>
      </c>
      <c r="H680" s="2" t="s">
        <v>47</v>
      </c>
      <c r="I680" s="2" t="s">
        <v>29</v>
      </c>
      <c r="J680" s="2">
        <v>4679.0</v>
      </c>
      <c r="K680" s="2">
        <v>2357.0</v>
      </c>
      <c r="L680" s="2">
        <v>975.0</v>
      </c>
      <c r="M680" s="2">
        <v>925.0</v>
      </c>
      <c r="N680" s="2">
        <v>899.0</v>
      </c>
      <c r="O680" s="2">
        <v>2190.0</v>
      </c>
      <c r="P680" s="2">
        <v>1034.0</v>
      </c>
      <c r="Q680" s="2">
        <v>156.0</v>
      </c>
      <c r="R680" s="2">
        <v>35665.0</v>
      </c>
      <c r="S680" s="2">
        <v>21739.0</v>
      </c>
      <c r="T680" s="2">
        <v>13926.0</v>
      </c>
      <c r="U680" s="2">
        <v>21739.0</v>
      </c>
      <c r="V680" s="2">
        <v>0.0</v>
      </c>
      <c r="W680" s="2">
        <v>13926.0</v>
      </c>
    </row>
    <row r="681" ht="15.0" customHeight="1">
      <c r="A681" s="2">
        <v>2025.0</v>
      </c>
      <c r="B681" s="2" t="s">
        <v>65</v>
      </c>
      <c r="C681" s="2">
        <v>2.0</v>
      </c>
      <c r="D681" s="2" t="s">
        <v>66</v>
      </c>
      <c r="E681" s="2" t="s">
        <v>61</v>
      </c>
      <c r="F681" s="2" t="s">
        <v>26</v>
      </c>
      <c r="G681" s="2" t="s">
        <v>46</v>
      </c>
      <c r="H681" s="2" t="s">
        <v>47</v>
      </c>
      <c r="I681" s="2" t="s">
        <v>30</v>
      </c>
      <c r="J681" s="2">
        <v>1274.0</v>
      </c>
      <c r="K681" s="2">
        <v>447.0</v>
      </c>
      <c r="L681" s="2">
        <v>163.0</v>
      </c>
      <c r="M681" s="2">
        <v>158.0</v>
      </c>
      <c r="N681" s="2">
        <v>152.0</v>
      </c>
      <c r="O681" s="2">
        <v>390.0</v>
      </c>
      <c r="P681" s="2">
        <v>175.0</v>
      </c>
      <c r="Q681" s="2">
        <v>33.0</v>
      </c>
      <c r="R681" s="2">
        <v>6896.0</v>
      </c>
      <c r="S681" s="2">
        <v>3797.0</v>
      </c>
      <c r="T681" s="2">
        <v>3099.0</v>
      </c>
      <c r="U681" s="2">
        <v>3797.0</v>
      </c>
      <c r="V681" s="2">
        <v>0.0</v>
      </c>
      <c r="W681" s="2">
        <v>3099.0</v>
      </c>
    </row>
    <row r="682" ht="15.0" customHeight="1">
      <c r="A682" s="2">
        <v>2025.0</v>
      </c>
      <c r="B682" s="2" t="s">
        <v>65</v>
      </c>
      <c r="C682" s="2">
        <v>2.0</v>
      </c>
      <c r="D682" s="2" t="s">
        <v>66</v>
      </c>
      <c r="E682" s="2" t="s">
        <v>61</v>
      </c>
      <c r="F682" s="2" t="s">
        <v>26</v>
      </c>
      <c r="G682" s="2" t="s">
        <v>46</v>
      </c>
      <c r="H682" s="2" t="s">
        <v>47</v>
      </c>
      <c r="I682" s="2" t="s">
        <v>31</v>
      </c>
      <c r="J682" s="2">
        <v>1203.0</v>
      </c>
      <c r="K682" s="2">
        <v>626.0</v>
      </c>
      <c r="L682" s="2">
        <v>166.0</v>
      </c>
      <c r="M682" s="2">
        <v>117.0</v>
      </c>
      <c r="N682" s="2">
        <v>109.0</v>
      </c>
      <c r="O682" s="2">
        <v>274.0</v>
      </c>
      <c r="P682" s="2">
        <v>134.0</v>
      </c>
      <c r="Q682" s="2">
        <v>33.0</v>
      </c>
      <c r="R682" s="2">
        <v>5386.0</v>
      </c>
      <c r="S682" s="2">
        <v>450.0</v>
      </c>
      <c r="T682" s="2">
        <v>4937.0</v>
      </c>
      <c r="U682" s="2">
        <v>450.0</v>
      </c>
      <c r="V682" s="2">
        <v>0.0</v>
      </c>
      <c r="W682" s="2">
        <v>4937.0</v>
      </c>
    </row>
    <row r="683" ht="15.0" customHeight="1">
      <c r="A683" s="2">
        <v>2025.0</v>
      </c>
      <c r="B683" s="2" t="s">
        <v>65</v>
      </c>
      <c r="C683" s="2">
        <v>2.0</v>
      </c>
      <c r="D683" s="2" t="s">
        <v>66</v>
      </c>
      <c r="E683" s="2" t="s">
        <v>61</v>
      </c>
      <c r="F683" s="2" t="s">
        <v>48</v>
      </c>
      <c r="G683" s="2" t="s">
        <v>27</v>
      </c>
      <c r="H683" s="2" t="s">
        <v>28</v>
      </c>
      <c r="I683" s="2" t="s">
        <v>29</v>
      </c>
      <c r="J683" s="2">
        <v>5444.0</v>
      </c>
      <c r="K683" s="2">
        <v>2820.0</v>
      </c>
      <c r="L683" s="2">
        <v>1145.0</v>
      </c>
      <c r="M683" s="2">
        <v>1097.0</v>
      </c>
      <c r="N683" s="2">
        <v>1071.0</v>
      </c>
      <c r="O683" s="2">
        <v>3346.0</v>
      </c>
      <c r="P683" s="2">
        <v>897.0</v>
      </c>
      <c r="Q683" s="2">
        <v>0.0</v>
      </c>
      <c r="R683" s="2">
        <v>27512.0</v>
      </c>
      <c r="S683" s="2">
        <v>19040.0</v>
      </c>
      <c r="T683" s="2">
        <v>8471.0</v>
      </c>
      <c r="U683" s="2">
        <v>19040.0</v>
      </c>
      <c r="V683" s="2">
        <v>0.0</v>
      </c>
      <c r="W683" s="2">
        <v>8471.0</v>
      </c>
    </row>
    <row r="684" ht="15.0" customHeight="1">
      <c r="A684" s="2">
        <v>2025.0</v>
      </c>
      <c r="B684" s="2" t="s">
        <v>65</v>
      </c>
      <c r="C684" s="2">
        <v>2.0</v>
      </c>
      <c r="D684" s="2" t="s">
        <v>66</v>
      </c>
      <c r="E684" s="2" t="s">
        <v>61</v>
      </c>
      <c r="F684" s="2" t="s">
        <v>48</v>
      </c>
      <c r="G684" s="2" t="s">
        <v>27</v>
      </c>
      <c r="H684" s="2" t="s">
        <v>28</v>
      </c>
      <c r="I684" s="2" t="s">
        <v>30</v>
      </c>
      <c r="J684" s="2">
        <v>2238.0</v>
      </c>
      <c r="K684" s="2">
        <v>771.0</v>
      </c>
      <c r="L684" s="2">
        <v>283.0</v>
      </c>
      <c r="M684" s="2">
        <v>267.0</v>
      </c>
      <c r="N684" s="2">
        <v>259.0</v>
      </c>
      <c r="O684" s="2">
        <v>807.0</v>
      </c>
      <c r="P684" s="2">
        <v>172.0</v>
      </c>
      <c r="Q684" s="2">
        <v>0.0</v>
      </c>
      <c r="R684" s="2">
        <v>5264.0</v>
      </c>
      <c r="S684" s="2">
        <v>2970.0</v>
      </c>
      <c r="T684" s="2">
        <v>2294.0</v>
      </c>
      <c r="U684" s="2">
        <v>2970.0</v>
      </c>
      <c r="V684" s="2">
        <v>0.0</v>
      </c>
      <c r="W684" s="2">
        <v>2294.0</v>
      </c>
    </row>
    <row r="685" ht="15.0" customHeight="1">
      <c r="A685" s="2">
        <v>2025.0</v>
      </c>
      <c r="B685" s="2" t="s">
        <v>65</v>
      </c>
      <c r="C685" s="2">
        <v>2.0</v>
      </c>
      <c r="D685" s="2" t="s">
        <v>66</v>
      </c>
      <c r="E685" s="2" t="s">
        <v>61</v>
      </c>
      <c r="F685" s="2" t="s">
        <v>48</v>
      </c>
      <c r="G685" s="2" t="s">
        <v>27</v>
      </c>
      <c r="H685" s="2" t="s">
        <v>28</v>
      </c>
      <c r="I685" s="2" t="s">
        <v>31</v>
      </c>
      <c r="J685" s="2">
        <v>179.0</v>
      </c>
      <c r="K685" s="2">
        <v>127.0</v>
      </c>
      <c r="L685" s="2">
        <v>130.0</v>
      </c>
      <c r="M685" s="2">
        <v>99.0</v>
      </c>
      <c r="N685" s="2">
        <v>96.0</v>
      </c>
      <c r="O685" s="2">
        <v>293.0</v>
      </c>
      <c r="P685" s="2">
        <v>88.0</v>
      </c>
      <c r="Q685" s="2">
        <v>0.0</v>
      </c>
      <c r="R685" s="2">
        <v>2757.0</v>
      </c>
      <c r="S685" s="2">
        <v>840.0</v>
      </c>
      <c r="T685" s="2">
        <v>1917.0</v>
      </c>
      <c r="U685" s="2">
        <v>840.0</v>
      </c>
      <c r="V685" s="2">
        <v>0.0</v>
      </c>
      <c r="W685" s="2">
        <v>1917.0</v>
      </c>
    </row>
    <row r="686" ht="15.0" customHeight="1">
      <c r="A686" s="2">
        <v>2025.0</v>
      </c>
      <c r="B686" s="2" t="s">
        <v>65</v>
      </c>
      <c r="C686" s="2">
        <v>2.0</v>
      </c>
      <c r="D686" s="2" t="s">
        <v>66</v>
      </c>
      <c r="E686" s="2" t="s">
        <v>61</v>
      </c>
      <c r="F686" s="2" t="s">
        <v>48</v>
      </c>
      <c r="G686" s="2" t="s">
        <v>32</v>
      </c>
      <c r="H686" s="2" t="s">
        <v>28</v>
      </c>
      <c r="I686" s="2" t="s">
        <v>29</v>
      </c>
      <c r="J686" s="2">
        <v>311.0</v>
      </c>
      <c r="K686" s="2">
        <v>148.0</v>
      </c>
      <c r="L686" s="2">
        <v>66.0</v>
      </c>
      <c r="M686" s="2">
        <v>61.0</v>
      </c>
      <c r="N686" s="2">
        <v>29.0</v>
      </c>
      <c r="O686" s="2">
        <v>37.0</v>
      </c>
      <c r="P686" s="2">
        <v>29.0</v>
      </c>
      <c r="Q686" s="2">
        <v>0.0</v>
      </c>
      <c r="R686" s="2">
        <v>462.0</v>
      </c>
      <c r="S686" s="2">
        <v>298.0</v>
      </c>
      <c r="T686" s="2">
        <v>163.0</v>
      </c>
      <c r="U686" s="2">
        <v>298.0</v>
      </c>
      <c r="V686" s="2">
        <v>0.0</v>
      </c>
      <c r="W686" s="2">
        <v>163.0</v>
      </c>
    </row>
    <row r="687" ht="15.0" customHeight="1">
      <c r="A687" s="2">
        <v>2025.0</v>
      </c>
      <c r="B687" s="2" t="s">
        <v>65</v>
      </c>
      <c r="C687" s="2">
        <v>2.0</v>
      </c>
      <c r="D687" s="2" t="s">
        <v>66</v>
      </c>
      <c r="E687" s="2" t="s">
        <v>61</v>
      </c>
      <c r="F687" s="2" t="s">
        <v>48</v>
      </c>
      <c r="G687" s="2" t="s">
        <v>32</v>
      </c>
      <c r="H687" s="2" t="s">
        <v>28</v>
      </c>
      <c r="I687" s="2" t="s">
        <v>30</v>
      </c>
      <c r="J687" s="2">
        <v>223.0</v>
      </c>
      <c r="K687" s="2">
        <v>98.0</v>
      </c>
      <c r="L687" s="2">
        <v>55.0</v>
      </c>
      <c r="M687" s="2">
        <v>51.0</v>
      </c>
      <c r="N687" s="2">
        <v>13.0</v>
      </c>
      <c r="O687" s="2">
        <v>18.0</v>
      </c>
      <c r="P687" s="2">
        <v>16.0</v>
      </c>
      <c r="Q687" s="2">
        <v>0.0</v>
      </c>
      <c r="R687" s="2">
        <v>251.0</v>
      </c>
      <c r="S687" s="2">
        <v>104.0</v>
      </c>
      <c r="T687" s="2">
        <v>147.0</v>
      </c>
      <c r="U687" s="2">
        <v>104.0</v>
      </c>
      <c r="V687" s="2">
        <v>0.0</v>
      </c>
      <c r="W687" s="2">
        <v>147.0</v>
      </c>
    </row>
    <row r="688" ht="15.0" customHeight="1">
      <c r="A688" s="2">
        <v>2025.0</v>
      </c>
      <c r="B688" s="2" t="s">
        <v>65</v>
      </c>
      <c r="C688" s="2">
        <v>2.0</v>
      </c>
      <c r="D688" s="2" t="s">
        <v>66</v>
      </c>
      <c r="E688" s="2" t="s">
        <v>61</v>
      </c>
      <c r="F688" s="2" t="s">
        <v>48</v>
      </c>
      <c r="G688" s="2" t="s">
        <v>32</v>
      </c>
      <c r="H688" s="2" t="s">
        <v>28</v>
      </c>
      <c r="I688" s="2" t="s">
        <v>31</v>
      </c>
      <c r="J688" s="2">
        <v>970.0</v>
      </c>
      <c r="K688" s="2">
        <v>363.0</v>
      </c>
      <c r="L688" s="2">
        <v>192.0</v>
      </c>
      <c r="M688" s="2">
        <v>176.0</v>
      </c>
      <c r="N688" s="2">
        <v>67.0</v>
      </c>
      <c r="O688" s="2">
        <v>95.0</v>
      </c>
      <c r="P688" s="2">
        <v>73.0</v>
      </c>
      <c r="Q688" s="2">
        <v>0.0</v>
      </c>
      <c r="R688" s="2">
        <v>1093.0</v>
      </c>
      <c r="S688" s="2">
        <v>17.0</v>
      </c>
      <c r="T688" s="2">
        <v>1076.0</v>
      </c>
      <c r="U688" s="2">
        <v>17.0</v>
      </c>
      <c r="V688" s="2">
        <v>0.0</v>
      </c>
      <c r="W688" s="2">
        <v>1076.0</v>
      </c>
    </row>
    <row r="689" ht="15.0" customHeight="1">
      <c r="A689" s="2">
        <v>2025.0</v>
      </c>
      <c r="B689" s="2" t="s">
        <v>65</v>
      </c>
      <c r="C689" s="2">
        <v>2.0</v>
      </c>
      <c r="D689" s="2" t="s">
        <v>66</v>
      </c>
      <c r="E689" s="2" t="s">
        <v>61</v>
      </c>
      <c r="F689" s="2" t="s">
        <v>48</v>
      </c>
      <c r="G689" s="2" t="s">
        <v>33</v>
      </c>
      <c r="H689" s="2" t="s">
        <v>28</v>
      </c>
      <c r="I689" s="2" t="s">
        <v>29</v>
      </c>
      <c r="J689" s="2">
        <v>240.0</v>
      </c>
      <c r="K689" s="2">
        <v>148.0</v>
      </c>
      <c r="L689" s="2">
        <v>65.0</v>
      </c>
      <c r="M689" s="2">
        <v>62.0</v>
      </c>
      <c r="N689" s="2">
        <v>33.0</v>
      </c>
      <c r="O689" s="2">
        <v>36.0</v>
      </c>
      <c r="P689" s="2">
        <v>34.0</v>
      </c>
      <c r="Q689" s="2">
        <v>29.0</v>
      </c>
      <c r="R689" s="2">
        <v>837.0</v>
      </c>
      <c r="S689" s="2">
        <v>753.0</v>
      </c>
      <c r="T689" s="2">
        <v>84.0</v>
      </c>
      <c r="U689" s="2">
        <v>753.0</v>
      </c>
      <c r="V689" s="2">
        <v>0.0</v>
      </c>
      <c r="W689" s="2">
        <v>84.0</v>
      </c>
    </row>
    <row r="690" ht="15.0" customHeight="1">
      <c r="A690" s="2">
        <v>2025.0</v>
      </c>
      <c r="B690" s="2" t="s">
        <v>65</v>
      </c>
      <c r="C690" s="2">
        <v>2.0</v>
      </c>
      <c r="D690" s="2" t="s">
        <v>66</v>
      </c>
      <c r="E690" s="2" t="s">
        <v>61</v>
      </c>
      <c r="F690" s="2" t="s">
        <v>48</v>
      </c>
      <c r="G690" s="2" t="s">
        <v>33</v>
      </c>
      <c r="H690" s="2" t="s">
        <v>28</v>
      </c>
      <c r="I690" s="2" t="s">
        <v>30</v>
      </c>
      <c r="J690" s="2">
        <v>517.0</v>
      </c>
      <c r="K690" s="2">
        <v>218.0</v>
      </c>
      <c r="L690" s="2">
        <v>102.0</v>
      </c>
      <c r="M690" s="2">
        <v>96.0</v>
      </c>
      <c r="N690" s="2">
        <v>26.0</v>
      </c>
      <c r="O690" s="2">
        <v>29.0</v>
      </c>
      <c r="P690" s="2">
        <v>28.0</v>
      </c>
      <c r="Q690" s="2">
        <v>20.0</v>
      </c>
      <c r="R690" s="2">
        <v>649.0</v>
      </c>
      <c r="S690" s="2">
        <v>966.0</v>
      </c>
      <c r="T690" s="2">
        <v>-318.0</v>
      </c>
      <c r="U690" s="2">
        <v>966.0</v>
      </c>
      <c r="V690" s="2">
        <v>0.0</v>
      </c>
      <c r="W690" s="2">
        <v>-318.0</v>
      </c>
    </row>
    <row r="691" ht="15.0" customHeight="1">
      <c r="A691" s="2">
        <v>2025.0</v>
      </c>
      <c r="B691" s="2" t="s">
        <v>65</v>
      </c>
      <c r="C691" s="2">
        <v>2.0</v>
      </c>
      <c r="D691" s="2" t="s">
        <v>66</v>
      </c>
      <c r="E691" s="2" t="s">
        <v>61</v>
      </c>
      <c r="F691" s="2" t="s">
        <v>48</v>
      </c>
      <c r="G691" s="2" t="s">
        <v>33</v>
      </c>
      <c r="H691" s="2" t="s">
        <v>28</v>
      </c>
      <c r="I691" s="2" t="s">
        <v>31</v>
      </c>
      <c r="J691" s="2">
        <v>91.0</v>
      </c>
      <c r="K691" s="2">
        <v>30.0</v>
      </c>
      <c r="L691" s="2">
        <v>13.0</v>
      </c>
      <c r="M691" s="2">
        <v>13.0</v>
      </c>
      <c r="N691" s="2">
        <v>4.0</v>
      </c>
      <c r="O691" s="2">
        <v>4.0</v>
      </c>
      <c r="P691" s="2">
        <v>4.0</v>
      </c>
      <c r="Q691" s="2">
        <v>4.0</v>
      </c>
      <c r="R691" s="2">
        <v>91.0</v>
      </c>
      <c r="S691" s="2">
        <v>0.0</v>
      </c>
      <c r="T691" s="2">
        <v>91.0</v>
      </c>
      <c r="U691" s="2">
        <v>0.0</v>
      </c>
      <c r="V691" s="2">
        <v>0.0</v>
      </c>
      <c r="W691" s="2">
        <v>91.0</v>
      </c>
    </row>
    <row r="692" ht="15.0" customHeight="1">
      <c r="A692" s="2">
        <v>2025.0</v>
      </c>
      <c r="B692" s="2" t="s">
        <v>65</v>
      </c>
      <c r="C692" s="2">
        <v>2.0</v>
      </c>
      <c r="D692" s="2" t="s">
        <v>66</v>
      </c>
      <c r="E692" s="2" t="s">
        <v>61</v>
      </c>
      <c r="F692" s="2" t="s">
        <v>48</v>
      </c>
      <c r="G692" s="2" t="s">
        <v>34</v>
      </c>
      <c r="H692" s="2" t="s">
        <v>35</v>
      </c>
      <c r="I692" s="2" t="s">
        <v>29</v>
      </c>
      <c r="J692" s="2">
        <v>30995.0</v>
      </c>
      <c r="K692" s="2">
        <v>20142.0</v>
      </c>
      <c r="L692" s="2">
        <v>8897.0</v>
      </c>
      <c r="M692" s="2">
        <v>8533.0</v>
      </c>
      <c r="N692" s="2">
        <v>3696.0</v>
      </c>
      <c r="O692" s="2">
        <v>4929.0</v>
      </c>
      <c r="P692" s="2">
        <v>3828.0</v>
      </c>
      <c r="Q692" s="2">
        <v>0.0</v>
      </c>
      <c r="R692" s="2">
        <v>54413.0</v>
      </c>
      <c r="S692" s="2">
        <v>34688.0</v>
      </c>
      <c r="T692" s="2">
        <v>19725.0</v>
      </c>
      <c r="U692" s="2">
        <v>34688.0</v>
      </c>
      <c r="V692" s="2">
        <v>0.0</v>
      </c>
      <c r="W692" s="2">
        <v>19725.0</v>
      </c>
    </row>
    <row r="693" ht="15.0" customHeight="1">
      <c r="A693" s="2">
        <v>2025.0</v>
      </c>
      <c r="B693" s="2" t="s">
        <v>65</v>
      </c>
      <c r="C693" s="2">
        <v>2.0</v>
      </c>
      <c r="D693" s="2" t="s">
        <v>66</v>
      </c>
      <c r="E693" s="2" t="s">
        <v>61</v>
      </c>
      <c r="F693" s="2" t="s">
        <v>48</v>
      </c>
      <c r="G693" s="2" t="s">
        <v>34</v>
      </c>
      <c r="H693" s="2" t="s">
        <v>35</v>
      </c>
      <c r="I693" s="2" t="s">
        <v>30</v>
      </c>
      <c r="J693" s="2">
        <v>15010.0</v>
      </c>
      <c r="K693" s="2">
        <v>8158.0</v>
      </c>
      <c r="L693" s="2">
        <v>3124.0</v>
      </c>
      <c r="M693" s="2">
        <v>2958.0</v>
      </c>
      <c r="N693" s="2">
        <v>1126.0</v>
      </c>
      <c r="O693" s="2">
        <v>1457.0</v>
      </c>
      <c r="P693" s="2">
        <v>1084.0</v>
      </c>
      <c r="Q693" s="2">
        <v>0.0</v>
      </c>
      <c r="R693" s="2">
        <v>16735.0</v>
      </c>
      <c r="S693" s="2">
        <v>10622.0</v>
      </c>
      <c r="T693" s="2">
        <v>6113.0</v>
      </c>
      <c r="U693" s="2">
        <v>10622.0</v>
      </c>
      <c r="V693" s="2">
        <v>0.0</v>
      </c>
      <c r="W693" s="2">
        <v>6113.0</v>
      </c>
    </row>
    <row r="694" ht="15.0" customHeight="1">
      <c r="A694" s="2">
        <v>2025.0</v>
      </c>
      <c r="B694" s="2" t="s">
        <v>65</v>
      </c>
      <c r="C694" s="2">
        <v>2.0</v>
      </c>
      <c r="D694" s="2" t="s">
        <v>66</v>
      </c>
      <c r="E694" s="2" t="s">
        <v>61</v>
      </c>
      <c r="F694" s="2" t="s">
        <v>48</v>
      </c>
      <c r="G694" s="2" t="s">
        <v>34</v>
      </c>
      <c r="H694" s="2" t="s">
        <v>35</v>
      </c>
      <c r="I694" s="2" t="s">
        <v>31</v>
      </c>
      <c r="J694" s="2">
        <v>934.0</v>
      </c>
      <c r="K694" s="2">
        <v>554.0</v>
      </c>
      <c r="L694" s="2">
        <v>407.0</v>
      </c>
      <c r="M694" s="2">
        <v>345.0</v>
      </c>
      <c r="N694" s="2">
        <v>142.0</v>
      </c>
      <c r="O694" s="2">
        <v>189.0</v>
      </c>
      <c r="P694" s="2">
        <v>142.0</v>
      </c>
      <c r="Q694" s="2">
        <v>0.0</v>
      </c>
      <c r="R694" s="2">
        <v>2159.0</v>
      </c>
      <c r="S694" s="2">
        <v>10.0</v>
      </c>
      <c r="T694" s="2">
        <v>2150.0</v>
      </c>
      <c r="U694" s="2">
        <v>10.0</v>
      </c>
      <c r="V694" s="2">
        <v>0.0</v>
      </c>
      <c r="W694" s="2">
        <v>2150.0</v>
      </c>
    </row>
    <row r="695" ht="15.0" customHeight="1">
      <c r="A695" s="2">
        <v>2025.0</v>
      </c>
      <c r="B695" s="2" t="s">
        <v>65</v>
      </c>
      <c r="C695" s="2">
        <v>2.0</v>
      </c>
      <c r="D695" s="2" t="s">
        <v>66</v>
      </c>
      <c r="E695" s="2" t="s">
        <v>61</v>
      </c>
      <c r="F695" s="2" t="s">
        <v>48</v>
      </c>
      <c r="G695" s="2" t="s">
        <v>36</v>
      </c>
      <c r="H695" s="2" t="s">
        <v>35</v>
      </c>
      <c r="I695" s="2" t="s">
        <v>29</v>
      </c>
      <c r="J695" s="2">
        <v>15007.0</v>
      </c>
      <c r="K695" s="2">
        <v>8891.0</v>
      </c>
      <c r="L695" s="2">
        <v>4263.0</v>
      </c>
      <c r="M695" s="2">
        <v>4126.0</v>
      </c>
      <c r="N695" s="2">
        <v>3123.0</v>
      </c>
      <c r="O695" s="2">
        <v>5596.0</v>
      </c>
      <c r="P695" s="2">
        <v>4801.0</v>
      </c>
      <c r="Q695" s="2">
        <v>0.0</v>
      </c>
      <c r="R695" s="2">
        <v>59422.0</v>
      </c>
      <c r="S695" s="2">
        <v>41811.0</v>
      </c>
      <c r="T695" s="2">
        <v>17611.0</v>
      </c>
      <c r="U695" s="2">
        <v>41610.0</v>
      </c>
      <c r="V695" s="2">
        <v>201.0</v>
      </c>
      <c r="W695" s="2">
        <v>17812.0</v>
      </c>
    </row>
    <row r="696" ht="15.0" customHeight="1">
      <c r="A696" s="2">
        <v>2025.0</v>
      </c>
      <c r="B696" s="2" t="s">
        <v>65</v>
      </c>
      <c r="C696" s="2">
        <v>2.0</v>
      </c>
      <c r="D696" s="2" t="s">
        <v>66</v>
      </c>
      <c r="E696" s="2" t="s">
        <v>61</v>
      </c>
      <c r="F696" s="2" t="s">
        <v>48</v>
      </c>
      <c r="G696" s="2" t="s">
        <v>36</v>
      </c>
      <c r="H696" s="2" t="s">
        <v>35</v>
      </c>
      <c r="I696" s="2" t="s">
        <v>30</v>
      </c>
      <c r="J696" s="2">
        <v>3842.0</v>
      </c>
      <c r="K696" s="2">
        <v>1714.0</v>
      </c>
      <c r="L696" s="2">
        <v>790.0</v>
      </c>
      <c r="M696" s="2">
        <v>761.0</v>
      </c>
      <c r="N696" s="2">
        <v>551.0</v>
      </c>
      <c r="O696" s="2">
        <v>1066.0</v>
      </c>
      <c r="P696" s="2">
        <v>919.0</v>
      </c>
      <c r="Q696" s="2">
        <v>0.0</v>
      </c>
      <c r="R696" s="2">
        <v>11320.0</v>
      </c>
      <c r="S696" s="2">
        <v>8045.0</v>
      </c>
      <c r="T696" s="2">
        <v>3276.0</v>
      </c>
      <c r="U696" s="2">
        <v>8045.0</v>
      </c>
      <c r="V696" s="2">
        <v>0.0</v>
      </c>
      <c r="W696" s="2">
        <v>3276.0</v>
      </c>
    </row>
    <row r="697" ht="15.0" customHeight="1">
      <c r="A697" s="2">
        <v>2025.0</v>
      </c>
      <c r="B697" s="2" t="s">
        <v>65</v>
      </c>
      <c r="C697" s="2">
        <v>2.0</v>
      </c>
      <c r="D697" s="2" t="s">
        <v>66</v>
      </c>
      <c r="E697" s="2" t="s">
        <v>61</v>
      </c>
      <c r="F697" s="2" t="s">
        <v>48</v>
      </c>
      <c r="G697" s="2" t="s">
        <v>36</v>
      </c>
      <c r="H697" s="2" t="s">
        <v>35</v>
      </c>
      <c r="I697" s="2" t="s">
        <v>31</v>
      </c>
      <c r="J697" s="2">
        <v>918.0</v>
      </c>
      <c r="K697" s="2">
        <v>597.0</v>
      </c>
      <c r="L697" s="2">
        <v>424.0</v>
      </c>
      <c r="M697" s="2">
        <v>390.0</v>
      </c>
      <c r="N697" s="2">
        <v>276.0</v>
      </c>
      <c r="O697" s="2">
        <v>509.0</v>
      </c>
      <c r="P697" s="2">
        <v>434.0</v>
      </c>
      <c r="Q697" s="2">
        <v>0.0</v>
      </c>
      <c r="R697" s="2">
        <v>5308.0</v>
      </c>
      <c r="S697" s="2">
        <v>24.0</v>
      </c>
      <c r="T697" s="2">
        <v>5285.0</v>
      </c>
      <c r="U697" s="2">
        <v>24.0</v>
      </c>
      <c r="V697" s="2">
        <v>0.0</v>
      </c>
      <c r="W697" s="2">
        <v>5285.0</v>
      </c>
    </row>
    <row r="698" ht="15.0" customHeight="1">
      <c r="A698" s="2">
        <v>2025.0</v>
      </c>
      <c r="B698" s="2" t="s">
        <v>65</v>
      </c>
      <c r="C698" s="2">
        <v>2.0</v>
      </c>
      <c r="D698" s="2" t="s">
        <v>66</v>
      </c>
      <c r="E698" s="2" t="s">
        <v>61</v>
      </c>
      <c r="F698" s="2" t="s">
        <v>48</v>
      </c>
      <c r="G698" s="2" t="s">
        <v>37</v>
      </c>
      <c r="H698" s="2" t="s">
        <v>35</v>
      </c>
      <c r="I698" s="2" t="s">
        <v>29</v>
      </c>
      <c r="J698" s="2">
        <v>3981.0</v>
      </c>
      <c r="K698" s="2">
        <v>2045.0</v>
      </c>
      <c r="L698" s="2">
        <v>878.0</v>
      </c>
      <c r="M698" s="2">
        <v>821.0</v>
      </c>
      <c r="N698" s="2">
        <v>633.0</v>
      </c>
      <c r="O698" s="2">
        <v>1621.0</v>
      </c>
      <c r="P698" s="2">
        <v>1223.0</v>
      </c>
      <c r="Q698" s="2">
        <v>56.0</v>
      </c>
      <c r="R698" s="2">
        <v>31397.0</v>
      </c>
      <c r="S698" s="2">
        <v>17672.0</v>
      </c>
      <c r="T698" s="2">
        <v>13725.0</v>
      </c>
      <c r="U698" s="2">
        <v>17672.0</v>
      </c>
      <c r="V698" s="2">
        <v>0.0</v>
      </c>
      <c r="W698" s="2">
        <v>13725.0</v>
      </c>
    </row>
    <row r="699" ht="15.0" customHeight="1">
      <c r="A699" s="2">
        <v>2025.0</v>
      </c>
      <c r="B699" s="2" t="s">
        <v>65</v>
      </c>
      <c r="C699" s="2">
        <v>2.0</v>
      </c>
      <c r="D699" s="2" t="s">
        <v>66</v>
      </c>
      <c r="E699" s="2" t="s">
        <v>61</v>
      </c>
      <c r="F699" s="2" t="s">
        <v>48</v>
      </c>
      <c r="G699" s="2" t="s">
        <v>37</v>
      </c>
      <c r="H699" s="2" t="s">
        <v>35</v>
      </c>
      <c r="I699" s="2" t="s">
        <v>30</v>
      </c>
      <c r="J699" s="2">
        <v>2945.0</v>
      </c>
      <c r="K699" s="2">
        <v>934.0</v>
      </c>
      <c r="L699" s="2">
        <v>309.0</v>
      </c>
      <c r="M699" s="2">
        <v>291.0</v>
      </c>
      <c r="N699" s="2">
        <v>214.0</v>
      </c>
      <c r="O699" s="2">
        <v>546.0</v>
      </c>
      <c r="P699" s="2">
        <v>405.0</v>
      </c>
      <c r="Q699" s="2">
        <v>16.0</v>
      </c>
      <c r="R699" s="2">
        <v>10350.0</v>
      </c>
      <c r="S699" s="2">
        <v>6446.0</v>
      </c>
      <c r="T699" s="2">
        <v>3904.0</v>
      </c>
      <c r="U699" s="2">
        <v>6446.0</v>
      </c>
      <c r="V699" s="2">
        <v>0.0</v>
      </c>
      <c r="W699" s="2">
        <v>3904.0</v>
      </c>
    </row>
    <row r="700" ht="15.0" customHeight="1">
      <c r="A700" s="2">
        <v>2025.0</v>
      </c>
      <c r="B700" s="2" t="s">
        <v>65</v>
      </c>
      <c r="C700" s="2">
        <v>2.0</v>
      </c>
      <c r="D700" s="2" t="s">
        <v>66</v>
      </c>
      <c r="E700" s="2" t="s">
        <v>61</v>
      </c>
      <c r="F700" s="2" t="s">
        <v>48</v>
      </c>
      <c r="G700" s="2" t="s">
        <v>37</v>
      </c>
      <c r="H700" s="2" t="s">
        <v>35</v>
      </c>
      <c r="I700" s="2" t="s">
        <v>31</v>
      </c>
      <c r="J700" s="2">
        <v>99.0</v>
      </c>
      <c r="K700" s="2">
        <v>80.0</v>
      </c>
      <c r="L700" s="2">
        <v>35.0</v>
      </c>
      <c r="M700" s="2">
        <v>29.0</v>
      </c>
      <c r="N700" s="2">
        <v>21.0</v>
      </c>
      <c r="O700" s="2">
        <v>52.0</v>
      </c>
      <c r="P700" s="2">
        <v>45.0</v>
      </c>
      <c r="Q700" s="2">
        <v>1.0</v>
      </c>
      <c r="R700" s="2">
        <v>1144.0</v>
      </c>
      <c r="S700" s="2">
        <v>0.0</v>
      </c>
      <c r="T700" s="2">
        <v>1143.0</v>
      </c>
      <c r="U700" s="2">
        <v>0.0</v>
      </c>
      <c r="V700" s="2">
        <v>0.0</v>
      </c>
      <c r="W700" s="2">
        <v>1143.0</v>
      </c>
    </row>
    <row r="701" ht="15.0" customHeight="1">
      <c r="A701" s="2">
        <v>2025.0</v>
      </c>
      <c r="B701" s="2" t="s">
        <v>65</v>
      </c>
      <c r="C701" s="2">
        <v>2.0</v>
      </c>
      <c r="D701" s="2" t="s">
        <v>66</v>
      </c>
      <c r="E701" s="2" t="s">
        <v>61</v>
      </c>
      <c r="F701" s="2" t="s">
        <v>48</v>
      </c>
      <c r="G701" s="2" t="s">
        <v>38</v>
      </c>
      <c r="H701" s="2" t="s">
        <v>35</v>
      </c>
      <c r="I701" s="2" t="s">
        <v>29</v>
      </c>
      <c r="J701" s="2">
        <v>3754.0</v>
      </c>
      <c r="K701" s="2">
        <v>2126.0</v>
      </c>
      <c r="L701" s="2">
        <v>1070.0</v>
      </c>
      <c r="M701" s="2">
        <v>1036.0</v>
      </c>
      <c r="N701" s="2">
        <v>605.0</v>
      </c>
      <c r="O701" s="2">
        <v>870.0</v>
      </c>
      <c r="P701" s="2">
        <v>687.0</v>
      </c>
      <c r="Q701" s="2">
        <v>183.0</v>
      </c>
      <c r="R701" s="2">
        <v>12985.0</v>
      </c>
      <c r="S701" s="2">
        <v>6641.0</v>
      </c>
      <c r="T701" s="2">
        <v>6344.0</v>
      </c>
      <c r="U701" s="2">
        <v>6599.0</v>
      </c>
      <c r="V701" s="2">
        <v>42.0</v>
      </c>
      <c r="W701" s="2">
        <v>6386.0</v>
      </c>
    </row>
    <row r="702" ht="15.0" customHeight="1">
      <c r="A702" s="2">
        <v>2025.0</v>
      </c>
      <c r="B702" s="2" t="s">
        <v>65</v>
      </c>
      <c r="C702" s="2">
        <v>2.0</v>
      </c>
      <c r="D702" s="2" t="s">
        <v>66</v>
      </c>
      <c r="E702" s="2" t="s">
        <v>61</v>
      </c>
      <c r="F702" s="2" t="s">
        <v>48</v>
      </c>
      <c r="G702" s="2" t="s">
        <v>38</v>
      </c>
      <c r="H702" s="2" t="s">
        <v>35</v>
      </c>
      <c r="I702" s="2" t="s">
        <v>30</v>
      </c>
      <c r="J702" s="2">
        <v>6836.0</v>
      </c>
      <c r="K702" s="2">
        <v>2661.0</v>
      </c>
      <c r="L702" s="2">
        <v>1896.0</v>
      </c>
      <c r="M702" s="2">
        <v>1849.0</v>
      </c>
      <c r="N702" s="2">
        <v>981.0</v>
      </c>
      <c r="O702" s="2">
        <v>1378.0</v>
      </c>
      <c r="P702" s="2">
        <v>1057.0</v>
      </c>
      <c r="Q702" s="2">
        <v>315.0</v>
      </c>
      <c r="R702" s="2">
        <v>19376.0</v>
      </c>
      <c r="S702" s="2">
        <v>11505.0</v>
      </c>
      <c r="T702" s="2">
        <v>7872.0</v>
      </c>
      <c r="U702" s="2">
        <v>11505.0</v>
      </c>
      <c r="V702" s="2">
        <v>0.0</v>
      </c>
      <c r="W702" s="2">
        <v>7872.0</v>
      </c>
    </row>
    <row r="703" ht="15.0" customHeight="1">
      <c r="A703" s="2">
        <v>2025.0</v>
      </c>
      <c r="B703" s="2" t="s">
        <v>65</v>
      </c>
      <c r="C703" s="2">
        <v>2.0</v>
      </c>
      <c r="D703" s="2" t="s">
        <v>66</v>
      </c>
      <c r="E703" s="2" t="s">
        <v>61</v>
      </c>
      <c r="F703" s="2" t="s">
        <v>48</v>
      </c>
      <c r="G703" s="2" t="s">
        <v>38</v>
      </c>
      <c r="H703" s="2" t="s">
        <v>35</v>
      </c>
      <c r="I703" s="2" t="s">
        <v>31</v>
      </c>
      <c r="J703" s="2">
        <v>817.0</v>
      </c>
      <c r="K703" s="2">
        <v>509.0</v>
      </c>
      <c r="L703" s="2">
        <v>385.0</v>
      </c>
      <c r="M703" s="2">
        <v>354.0</v>
      </c>
      <c r="N703" s="2">
        <v>192.0</v>
      </c>
      <c r="O703" s="2">
        <v>278.0</v>
      </c>
      <c r="P703" s="2">
        <v>216.0</v>
      </c>
      <c r="Q703" s="2">
        <v>57.0</v>
      </c>
      <c r="R703" s="2">
        <v>4111.0</v>
      </c>
      <c r="S703" s="2">
        <v>19.0</v>
      </c>
      <c r="T703" s="2">
        <v>4091.0</v>
      </c>
      <c r="U703" s="2">
        <v>19.0</v>
      </c>
      <c r="V703" s="2">
        <v>0.0</v>
      </c>
      <c r="W703" s="2">
        <v>4091.0</v>
      </c>
    </row>
    <row r="704" ht="15.0" customHeight="1">
      <c r="A704" s="2">
        <v>2025.0</v>
      </c>
      <c r="B704" s="2" t="s">
        <v>65</v>
      </c>
      <c r="C704" s="2">
        <v>2.0</v>
      </c>
      <c r="D704" s="2" t="s">
        <v>66</v>
      </c>
      <c r="E704" s="2" t="s">
        <v>61</v>
      </c>
      <c r="F704" s="2" t="s">
        <v>48</v>
      </c>
      <c r="G704" s="2" t="s">
        <v>39</v>
      </c>
      <c r="H704" s="2" t="s">
        <v>40</v>
      </c>
      <c r="I704" s="2" t="s">
        <v>29</v>
      </c>
      <c r="J704" s="2">
        <v>29426.0</v>
      </c>
      <c r="K704" s="2">
        <v>17778.0</v>
      </c>
      <c r="L704" s="2">
        <v>8535.0</v>
      </c>
      <c r="M704" s="2">
        <v>8136.0</v>
      </c>
      <c r="N704" s="2">
        <v>7323.0</v>
      </c>
      <c r="O704" s="2">
        <v>13643.0</v>
      </c>
      <c r="P704" s="2">
        <v>13136.0</v>
      </c>
      <c r="Q704" s="2">
        <v>10561.0</v>
      </c>
      <c r="R704" s="2">
        <v>100801.0</v>
      </c>
      <c r="S704" s="2">
        <v>66445.0</v>
      </c>
      <c r="T704" s="2">
        <v>34355.0</v>
      </c>
      <c r="U704" s="2">
        <v>66445.0</v>
      </c>
      <c r="V704" s="2">
        <v>0.0</v>
      </c>
      <c r="W704" s="2">
        <v>34355.0</v>
      </c>
    </row>
    <row r="705" ht="15.0" customHeight="1">
      <c r="A705" s="2">
        <v>2025.0</v>
      </c>
      <c r="B705" s="2" t="s">
        <v>65</v>
      </c>
      <c r="C705" s="2">
        <v>2.0</v>
      </c>
      <c r="D705" s="2" t="s">
        <v>66</v>
      </c>
      <c r="E705" s="2" t="s">
        <v>61</v>
      </c>
      <c r="F705" s="2" t="s">
        <v>48</v>
      </c>
      <c r="G705" s="2" t="s">
        <v>39</v>
      </c>
      <c r="H705" s="2" t="s">
        <v>40</v>
      </c>
      <c r="I705" s="2" t="s">
        <v>30</v>
      </c>
      <c r="J705" s="2">
        <v>5415.0</v>
      </c>
      <c r="K705" s="2">
        <v>2663.0</v>
      </c>
      <c r="L705" s="2">
        <v>1081.0</v>
      </c>
      <c r="M705" s="2">
        <v>1020.0</v>
      </c>
      <c r="N705" s="2">
        <v>908.0</v>
      </c>
      <c r="O705" s="2">
        <v>1713.0</v>
      </c>
      <c r="P705" s="2">
        <v>1630.0</v>
      </c>
      <c r="Q705" s="2">
        <v>1281.0</v>
      </c>
      <c r="R705" s="2">
        <v>12276.0</v>
      </c>
      <c r="S705" s="2">
        <v>8721.0</v>
      </c>
      <c r="T705" s="2">
        <v>3554.0</v>
      </c>
      <c r="U705" s="2">
        <v>8721.0</v>
      </c>
      <c r="V705" s="2">
        <v>0.0</v>
      </c>
      <c r="W705" s="2">
        <v>3554.0</v>
      </c>
    </row>
    <row r="706" ht="15.0" customHeight="1">
      <c r="A706" s="2">
        <v>2025.0</v>
      </c>
      <c r="B706" s="2" t="s">
        <v>65</v>
      </c>
      <c r="C706" s="2">
        <v>2.0</v>
      </c>
      <c r="D706" s="2" t="s">
        <v>66</v>
      </c>
      <c r="E706" s="2" t="s">
        <v>61</v>
      </c>
      <c r="F706" s="2" t="s">
        <v>48</v>
      </c>
      <c r="G706" s="2" t="s">
        <v>39</v>
      </c>
      <c r="H706" s="2" t="s">
        <v>40</v>
      </c>
      <c r="I706" s="2" t="s">
        <v>31</v>
      </c>
      <c r="J706" s="2">
        <v>2345.0</v>
      </c>
      <c r="K706" s="2">
        <v>1399.0</v>
      </c>
      <c r="L706" s="2">
        <v>736.0</v>
      </c>
      <c r="M706" s="2">
        <v>661.0</v>
      </c>
      <c r="N706" s="2">
        <v>586.0</v>
      </c>
      <c r="O706" s="2">
        <v>1045.0</v>
      </c>
      <c r="P706" s="2">
        <v>977.0</v>
      </c>
      <c r="Q706" s="2">
        <v>701.0</v>
      </c>
      <c r="R706" s="2">
        <v>8142.0</v>
      </c>
      <c r="S706" s="2">
        <v>24.0</v>
      </c>
      <c r="T706" s="2">
        <v>8118.0</v>
      </c>
      <c r="U706" s="2">
        <v>24.0</v>
      </c>
      <c r="V706" s="2">
        <v>0.0</v>
      </c>
      <c r="W706" s="2">
        <v>8118.0</v>
      </c>
    </row>
    <row r="707" ht="15.0" customHeight="1">
      <c r="A707" s="2">
        <v>2025.0</v>
      </c>
      <c r="B707" s="2" t="s">
        <v>65</v>
      </c>
      <c r="C707" s="2">
        <v>2.0</v>
      </c>
      <c r="D707" s="2" t="s">
        <v>66</v>
      </c>
      <c r="E707" s="2" t="s">
        <v>61</v>
      </c>
      <c r="F707" s="2" t="s">
        <v>48</v>
      </c>
      <c r="G707" s="2" t="s">
        <v>41</v>
      </c>
      <c r="H707" s="2" t="s">
        <v>42</v>
      </c>
      <c r="I707" s="2" t="s">
        <v>29</v>
      </c>
      <c r="J707" s="2">
        <v>12126.0</v>
      </c>
      <c r="K707" s="2">
        <v>5995.0</v>
      </c>
      <c r="L707" s="2">
        <v>2269.0</v>
      </c>
      <c r="M707" s="2">
        <v>2128.0</v>
      </c>
      <c r="N707" s="2">
        <v>788.0</v>
      </c>
      <c r="O707" s="2">
        <v>1108.0</v>
      </c>
      <c r="P707" s="2">
        <v>802.0</v>
      </c>
      <c r="Q707" s="2">
        <v>0.0</v>
      </c>
      <c r="R707" s="2">
        <v>7336.0</v>
      </c>
      <c r="S707" s="2">
        <v>3950.0</v>
      </c>
      <c r="T707" s="2">
        <v>3386.0</v>
      </c>
      <c r="U707" s="2">
        <v>3351.0</v>
      </c>
      <c r="V707" s="2">
        <v>599.0</v>
      </c>
      <c r="W707" s="2">
        <v>3985.0</v>
      </c>
    </row>
    <row r="708" ht="15.0" customHeight="1">
      <c r="A708" s="2">
        <v>2025.0</v>
      </c>
      <c r="B708" s="2" t="s">
        <v>65</v>
      </c>
      <c r="C708" s="2">
        <v>2.0</v>
      </c>
      <c r="D708" s="2" t="s">
        <v>66</v>
      </c>
      <c r="E708" s="2" t="s">
        <v>61</v>
      </c>
      <c r="F708" s="2" t="s">
        <v>48</v>
      </c>
      <c r="G708" s="2" t="s">
        <v>41</v>
      </c>
      <c r="H708" s="2" t="s">
        <v>42</v>
      </c>
      <c r="I708" s="2" t="s">
        <v>30</v>
      </c>
      <c r="J708" s="2">
        <v>4393.0</v>
      </c>
      <c r="K708" s="2">
        <v>2415.0</v>
      </c>
      <c r="L708" s="2">
        <v>1379.0</v>
      </c>
      <c r="M708" s="2">
        <v>1296.0</v>
      </c>
      <c r="N708" s="2">
        <v>636.0</v>
      </c>
      <c r="O708" s="2">
        <v>892.0</v>
      </c>
      <c r="P708" s="2">
        <v>647.0</v>
      </c>
      <c r="Q708" s="2">
        <v>0.0</v>
      </c>
      <c r="R708" s="2">
        <v>5427.0</v>
      </c>
      <c r="S708" s="2">
        <v>3623.0</v>
      </c>
      <c r="T708" s="2">
        <v>1804.0</v>
      </c>
      <c r="U708" s="2">
        <v>3623.0</v>
      </c>
      <c r="V708" s="2">
        <v>0.0</v>
      </c>
      <c r="W708" s="2">
        <v>1804.0</v>
      </c>
    </row>
    <row r="709" ht="15.0" customHeight="1">
      <c r="A709" s="2">
        <v>2025.0</v>
      </c>
      <c r="B709" s="2" t="s">
        <v>65</v>
      </c>
      <c r="C709" s="2">
        <v>2.0</v>
      </c>
      <c r="D709" s="2" t="s">
        <v>66</v>
      </c>
      <c r="E709" s="2" t="s">
        <v>61</v>
      </c>
      <c r="F709" s="2" t="s">
        <v>48</v>
      </c>
      <c r="G709" s="2" t="s">
        <v>41</v>
      </c>
      <c r="H709" s="2" t="s">
        <v>42</v>
      </c>
      <c r="I709" s="2" t="s">
        <v>31</v>
      </c>
      <c r="J709" s="2">
        <v>6839.0</v>
      </c>
      <c r="K709" s="2">
        <v>5017.0</v>
      </c>
      <c r="L709" s="2">
        <v>4382.0</v>
      </c>
      <c r="M709" s="2">
        <v>3881.0</v>
      </c>
      <c r="N709" s="2">
        <v>1208.0</v>
      </c>
      <c r="O709" s="2">
        <v>1597.0</v>
      </c>
      <c r="P709" s="2">
        <v>1161.0</v>
      </c>
      <c r="Q709" s="2">
        <v>0.0</v>
      </c>
      <c r="R709" s="2">
        <v>11872.0</v>
      </c>
      <c r="S709" s="2">
        <v>83.0</v>
      </c>
      <c r="T709" s="2">
        <v>11789.0</v>
      </c>
      <c r="U709" s="2">
        <v>83.0</v>
      </c>
      <c r="V709" s="2">
        <v>0.0</v>
      </c>
      <c r="W709" s="2">
        <v>11789.0</v>
      </c>
    </row>
    <row r="710" ht="15.0" customHeight="1">
      <c r="A710" s="2">
        <v>2025.0</v>
      </c>
      <c r="B710" s="2" t="s">
        <v>65</v>
      </c>
      <c r="C710" s="2">
        <v>2.0</v>
      </c>
      <c r="D710" s="2" t="s">
        <v>66</v>
      </c>
      <c r="E710" s="2" t="s">
        <v>61</v>
      </c>
      <c r="F710" s="2" t="s">
        <v>48</v>
      </c>
      <c r="G710" s="2" t="s">
        <v>43</v>
      </c>
      <c r="H710" s="2" t="s">
        <v>42</v>
      </c>
      <c r="I710" s="2" t="s">
        <v>29</v>
      </c>
      <c r="J710" s="2">
        <v>24927.0</v>
      </c>
      <c r="K710" s="2">
        <v>11052.0</v>
      </c>
      <c r="L710" s="2">
        <v>3700.0</v>
      </c>
      <c r="M710" s="2">
        <v>3489.0</v>
      </c>
      <c r="N710" s="2">
        <v>1777.0</v>
      </c>
      <c r="O710" s="2">
        <v>3641.0</v>
      </c>
      <c r="P710" s="2">
        <v>3119.0</v>
      </c>
      <c r="Q710" s="2">
        <v>0.0</v>
      </c>
      <c r="R710" s="2">
        <v>97427.0</v>
      </c>
      <c r="S710" s="2">
        <v>66848.0</v>
      </c>
      <c r="T710" s="2">
        <v>30579.0</v>
      </c>
      <c r="U710" s="2">
        <v>63766.0</v>
      </c>
      <c r="V710" s="2">
        <v>3082.0</v>
      </c>
      <c r="W710" s="2">
        <v>33661.0</v>
      </c>
    </row>
    <row r="711" ht="15.0" customHeight="1">
      <c r="A711" s="2">
        <v>2025.0</v>
      </c>
      <c r="B711" s="2" t="s">
        <v>65</v>
      </c>
      <c r="C711" s="2">
        <v>2.0</v>
      </c>
      <c r="D711" s="2" t="s">
        <v>66</v>
      </c>
      <c r="E711" s="2" t="s">
        <v>61</v>
      </c>
      <c r="F711" s="2" t="s">
        <v>48</v>
      </c>
      <c r="G711" s="2" t="s">
        <v>43</v>
      </c>
      <c r="H711" s="2" t="s">
        <v>42</v>
      </c>
      <c r="I711" s="2" t="s">
        <v>30</v>
      </c>
      <c r="J711" s="2">
        <v>5522.0</v>
      </c>
      <c r="K711" s="2">
        <v>1856.0</v>
      </c>
      <c r="L711" s="2">
        <v>531.0</v>
      </c>
      <c r="M711" s="2">
        <v>490.0</v>
      </c>
      <c r="N711" s="2">
        <v>274.0</v>
      </c>
      <c r="O711" s="2">
        <v>668.0</v>
      </c>
      <c r="P711" s="2">
        <v>569.0</v>
      </c>
      <c r="Q711" s="2">
        <v>0.0</v>
      </c>
      <c r="R711" s="2">
        <v>19999.0</v>
      </c>
      <c r="S711" s="2">
        <v>15629.0</v>
      </c>
      <c r="T711" s="2">
        <v>4370.0</v>
      </c>
      <c r="U711" s="2">
        <v>15629.0</v>
      </c>
      <c r="V711" s="2">
        <v>0.0</v>
      </c>
      <c r="W711" s="2">
        <v>4370.0</v>
      </c>
    </row>
    <row r="712" ht="15.0" customHeight="1">
      <c r="A712" s="2">
        <v>2025.0</v>
      </c>
      <c r="B712" s="2" t="s">
        <v>65</v>
      </c>
      <c r="C712" s="2">
        <v>2.0</v>
      </c>
      <c r="D712" s="2" t="s">
        <v>66</v>
      </c>
      <c r="E712" s="2" t="s">
        <v>61</v>
      </c>
      <c r="F712" s="2" t="s">
        <v>48</v>
      </c>
      <c r="G712" s="2" t="s">
        <v>43</v>
      </c>
      <c r="H712" s="2" t="s">
        <v>42</v>
      </c>
      <c r="I712" s="2" t="s">
        <v>31</v>
      </c>
      <c r="J712" s="2">
        <v>605.0</v>
      </c>
      <c r="K712" s="2">
        <v>397.0</v>
      </c>
      <c r="L712" s="2">
        <v>239.0</v>
      </c>
      <c r="M712" s="2">
        <v>204.0</v>
      </c>
      <c r="N712" s="2">
        <v>116.0</v>
      </c>
      <c r="O712" s="2">
        <v>279.0</v>
      </c>
      <c r="P712" s="2">
        <v>250.0</v>
      </c>
      <c r="Q712" s="2">
        <v>0.0</v>
      </c>
      <c r="R712" s="2">
        <v>8594.0</v>
      </c>
      <c r="S712" s="2">
        <v>0.0</v>
      </c>
      <c r="T712" s="2">
        <v>8594.0</v>
      </c>
      <c r="U712" s="2">
        <v>0.0</v>
      </c>
      <c r="V712" s="2">
        <v>0.0</v>
      </c>
      <c r="W712" s="2">
        <v>8594.0</v>
      </c>
    </row>
    <row r="713" ht="15.0" customHeight="1">
      <c r="A713" s="2">
        <v>2025.0</v>
      </c>
      <c r="B713" s="2" t="s">
        <v>65</v>
      </c>
      <c r="C713" s="2">
        <v>2.0</v>
      </c>
      <c r="D713" s="2" t="s">
        <v>66</v>
      </c>
      <c r="E713" s="2" t="s">
        <v>61</v>
      </c>
      <c r="F713" s="2" t="s">
        <v>48</v>
      </c>
      <c r="G713" s="2" t="s">
        <v>44</v>
      </c>
      <c r="H713" s="2" t="s">
        <v>45</v>
      </c>
      <c r="I713" s="2" t="s">
        <v>29</v>
      </c>
      <c r="J713" s="2">
        <v>2094.0</v>
      </c>
      <c r="K713" s="2">
        <v>1003.0</v>
      </c>
      <c r="L713" s="2">
        <v>304.0</v>
      </c>
      <c r="M713" s="2">
        <v>296.0</v>
      </c>
      <c r="N713" s="2">
        <v>236.0</v>
      </c>
      <c r="O713" s="2">
        <v>432.0</v>
      </c>
      <c r="P713" s="2">
        <v>323.0</v>
      </c>
      <c r="Q713" s="2">
        <v>152.0</v>
      </c>
      <c r="R713" s="2">
        <v>7587.0</v>
      </c>
      <c r="S713" s="2">
        <v>8698.0</v>
      </c>
      <c r="T713" s="2">
        <v>-1111.0</v>
      </c>
      <c r="U713" s="2">
        <v>8698.0</v>
      </c>
      <c r="V713" s="2">
        <v>0.0</v>
      </c>
      <c r="W713" s="2">
        <v>-1111.0</v>
      </c>
    </row>
    <row r="714" ht="15.0" customHeight="1">
      <c r="A714" s="2">
        <v>2025.0</v>
      </c>
      <c r="B714" s="2" t="s">
        <v>65</v>
      </c>
      <c r="C714" s="2">
        <v>2.0</v>
      </c>
      <c r="D714" s="2" t="s">
        <v>66</v>
      </c>
      <c r="E714" s="2" t="s">
        <v>61</v>
      </c>
      <c r="F714" s="2" t="s">
        <v>48</v>
      </c>
      <c r="G714" s="2" t="s">
        <v>44</v>
      </c>
      <c r="H714" s="2" t="s">
        <v>45</v>
      </c>
      <c r="I714" s="2" t="s">
        <v>30</v>
      </c>
      <c r="J714" s="2">
        <v>6688.0</v>
      </c>
      <c r="K714" s="2">
        <v>3527.0</v>
      </c>
      <c r="L714" s="2">
        <v>752.0</v>
      </c>
      <c r="M714" s="2">
        <v>712.0</v>
      </c>
      <c r="N714" s="2">
        <v>421.0</v>
      </c>
      <c r="O714" s="2">
        <v>672.0</v>
      </c>
      <c r="P714" s="2">
        <v>511.0</v>
      </c>
      <c r="Q714" s="2">
        <v>149.0</v>
      </c>
      <c r="R714" s="2">
        <v>11083.0</v>
      </c>
      <c r="S714" s="2">
        <v>8807.0</v>
      </c>
      <c r="T714" s="2">
        <v>2276.0</v>
      </c>
      <c r="U714" s="2">
        <v>8807.0</v>
      </c>
      <c r="V714" s="2">
        <v>0.0</v>
      </c>
      <c r="W714" s="2">
        <v>2276.0</v>
      </c>
    </row>
    <row r="715" ht="15.0" customHeight="1">
      <c r="A715" s="2">
        <v>2025.0</v>
      </c>
      <c r="B715" s="2" t="s">
        <v>65</v>
      </c>
      <c r="C715" s="2">
        <v>2.0</v>
      </c>
      <c r="D715" s="2" t="s">
        <v>66</v>
      </c>
      <c r="E715" s="2" t="s">
        <v>61</v>
      </c>
      <c r="F715" s="2" t="s">
        <v>48</v>
      </c>
      <c r="G715" s="2" t="s">
        <v>44</v>
      </c>
      <c r="H715" s="2" t="s">
        <v>45</v>
      </c>
      <c r="I715" s="2" t="s">
        <v>31</v>
      </c>
      <c r="J715" s="2">
        <v>359.0</v>
      </c>
      <c r="K715" s="2">
        <v>219.0</v>
      </c>
      <c r="L715" s="2">
        <v>83.0</v>
      </c>
      <c r="M715" s="2">
        <v>71.0</v>
      </c>
      <c r="N715" s="2">
        <v>55.0</v>
      </c>
      <c r="O715" s="2">
        <v>132.0</v>
      </c>
      <c r="P715" s="2">
        <v>97.0</v>
      </c>
      <c r="Q715" s="2">
        <v>38.0</v>
      </c>
      <c r="R715" s="2">
        <v>2684.0</v>
      </c>
      <c r="S715" s="2">
        <v>32.0</v>
      </c>
      <c r="T715" s="2">
        <v>2652.0</v>
      </c>
      <c r="U715" s="2">
        <v>32.0</v>
      </c>
      <c r="V715" s="2">
        <v>0.0</v>
      </c>
      <c r="W715" s="2">
        <v>2652.0</v>
      </c>
    </row>
    <row r="716" ht="15.0" customHeight="1">
      <c r="A716" s="2">
        <v>2025.0</v>
      </c>
      <c r="B716" s="2" t="s">
        <v>65</v>
      </c>
      <c r="C716" s="2">
        <v>2.0</v>
      </c>
      <c r="D716" s="2" t="s">
        <v>66</v>
      </c>
      <c r="E716" s="2" t="s">
        <v>61</v>
      </c>
      <c r="F716" s="2" t="s">
        <v>48</v>
      </c>
      <c r="G716" s="2" t="s">
        <v>46</v>
      </c>
      <c r="H716" s="2" t="s">
        <v>47</v>
      </c>
      <c r="I716" s="2" t="s">
        <v>29</v>
      </c>
      <c r="J716" s="2">
        <v>16069.0</v>
      </c>
      <c r="K716" s="2">
        <v>7659.0</v>
      </c>
      <c r="L716" s="2">
        <v>2665.0</v>
      </c>
      <c r="M716" s="2">
        <v>2539.0</v>
      </c>
      <c r="N716" s="2">
        <v>2508.0</v>
      </c>
      <c r="O716" s="2">
        <v>6053.0</v>
      </c>
      <c r="P716" s="2">
        <v>4164.0</v>
      </c>
      <c r="Q716" s="2">
        <v>1939.0</v>
      </c>
      <c r="R716" s="2">
        <v>127293.0</v>
      </c>
      <c r="S716" s="2">
        <v>90787.0</v>
      </c>
      <c r="T716" s="2">
        <v>36505.0</v>
      </c>
      <c r="U716" s="2">
        <v>90787.0</v>
      </c>
      <c r="V716" s="2">
        <v>0.0</v>
      </c>
      <c r="W716" s="2">
        <v>36505.0</v>
      </c>
    </row>
    <row r="717" ht="15.0" customHeight="1">
      <c r="A717" s="2">
        <v>2025.0</v>
      </c>
      <c r="B717" s="2" t="s">
        <v>65</v>
      </c>
      <c r="C717" s="2">
        <v>2.0</v>
      </c>
      <c r="D717" s="2" t="s">
        <v>66</v>
      </c>
      <c r="E717" s="2" t="s">
        <v>61</v>
      </c>
      <c r="F717" s="2" t="s">
        <v>48</v>
      </c>
      <c r="G717" s="2" t="s">
        <v>46</v>
      </c>
      <c r="H717" s="2" t="s">
        <v>47</v>
      </c>
      <c r="I717" s="2" t="s">
        <v>30</v>
      </c>
      <c r="J717" s="2">
        <v>3915.0</v>
      </c>
      <c r="K717" s="2">
        <v>1363.0</v>
      </c>
      <c r="L717" s="2">
        <v>628.0</v>
      </c>
      <c r="M717" s="2">
        <v>598.0</v>
      </c>
      <c r="N717" s="2">
        <v>592.0</v>
      </c>
      <c r="O717" s="2">
        <v>1403.0</v>
      </c>
      <c r="P717" s="2">
        <v>935.0</v>
      </c>
      <c r="Q717" s="2">
        <v>436.0</v>
      </c>
      <c r="R717" s="2">
        <v>27557.0</v>
      </c>
      <c r="S717" s="2">
        <v>19987.0</v>
      </c>
      <c r="T717" s="2">
        <v>7571.0</v>
      </c>
      <c r="U717" s="2">
        <v>19987.0</v>
      </c>
      <c r="V717" s="2">
        <v>0.0</v>
      </c>
      <c r="W717" s="2">
        <v>7571.0</v>
      </c>
    </row>
    <row r="718" ht="15.0" customHeight="1">
      <c r="A718" s="2">
        <v>2025.0</v>
      </c>
      <c r="B718" s="2" t="s">
        <v>65</v>
      </c>
      <c r="C718" s="2">
        <v>2.0</v>
      </c>
      <c r="D718" s="2" t="s">
        <v>66</v>
      </c>
      <c r="E718" s="2" t="s">
        <v>61</v>
      </c>
      <c r="F718" s="2" t="s">
        <v>48</v>
      </c>
      <c r="G718" s="2" t="s">
        <v>46</v>
      </c>
      <c r="H718" s="2" t="s">
        <v>47</v>
      </c>
      <c r="I718" s="2" t="s">
        <v>31</v>
      </c>
      <c r="J718" s="2">
        <v>1242.0</v>
      </c>
      <c r="K718" s="2">
        <v>516.0</v>
      </c>
      <c r="L718" s="2">
        <v>277.0</v>
      </c>
      <c r="M718" s="2">
        <v>200.0</v>
      </c>
      <c r="N718" s="2">
        <v>194.0</v>
      </c>
      <c r="O718" s="2">
        <v>470.0</v>
      </c>
      <c r="P718" s="2">
        <v>334.0</v>
      </c>
      <c r="Q718" s="2">
        <v>177.0</v>
      </c>
      <c r="R718" s="2">
        <v>11666.0</v>
      </c>
      <c r="S718" s="2">
        <v>139.0</v>
      </c>
      <c r="T718" s="2">
        <v>11527.0</v>
      </c>
      <c r="U718" s="2">
        <v>139.0</v>
      </c>
      <c r="V718" s="2">
        <v>0.0</v>
      </c>
      <c r="W718" s="2">
        <v>11527.0</v>
      </c>
    </row>
    <row r="719" ht="15.0" customHeight="1">
      <c r="A719" s="2">
        <v>2025.0</v>
      </c>
      <c r="B719" s="2" t="s">
        <v>67</v>
      </c>
      <c r="C719" s="2">
        <v>1.0</v>
      </c>
      <c r="D719" s="2" t="s">
        <v>68</v>
      </c>
      <c r="E719" s="2" t="s">
        <v>61</v>
      </c>
      <c r="F719" s="2" t="s">
        <v>26</v>
      </c>
      <c r="G719" s="2" t="s">
        <v>27</v>
      </c>
      <c r="H719" s="2" t="s">
        <v>28</v>
      </c>
      <c r="I719" s="2" t="s">
        <v>29</v>
      </c>
      <c r="J719" s="2">
        <v>7692.0</v>
      </c>
      <c r="K719" s="2">
        <v>4204.0</v>
      </c>
      <c r="L719" s="2">
        <v>1161.0</v>
      </c>
      <c r="M719" s="2">
        <v>1124.0</v>
      </c>
      <c r="N719" s="2">
        <v>894.0</v>
      </c>
      <c r="O719" s="2">
        <v>1741.0</v>
      </c>
      <c r="P719" s="2">
        <v>1570.0</v>
      </c>
      <c r="Q719" s="2">
        <v>121.0</v>
      </c>
      <c r="R719" s="2">
        <v>29661.0</v>
      </c>
      <c r="S719" s="2">
        <v>19369.0</v>
      </c>
      <c r="T719" s="2">
        <v>10292.0</v>
      </c>
      <c r="U719" s="2">
        <v>19009.0</v>
      </c>
      <c r="V719" s="2">
        <v>360.0</v>
      </c>
      <c r="W719" s="2">
        <v>10652.0</v>
      </c>
    </row>
    <row r="720" ht="15.0" customHeight="1">
      <c r="A720" s="2">
        <v>2025.0</v>
      </c>
      <c r="B720" s="2" t="s">
        <v>67</v>
      </c>
      <c r="C720" s="2">
        <v>1.0</v>
      </c>
      <c r="D720" s="2" t="s">
        <v>68</v>
      </c>
      <c r="E720" s="2" t="s">
        <v>61</v>
      </c>
      <c r="F720" s="2" t="s">
        <v>26</v>
      </c>
      <c r="G720" s="2" t="s">
        <v>27</v>
      </c>
      <c r="H720" s="2" t="s">
        <v>28</v>
      </c>
      <c r="I720" s="2" t="s">
        <v>30</v>
      </c>
      <c r="J720" s="2">
        <v>2651.0</v>
      </c>
      <c r="K720" s="2">
        <v>952.0</v>
      </c>
      <c r="L720" s="2">
        <v>211.0</v>
      </c>
      <c r="M720" s="2">
        <v>200.0</v>
      </c>
      <c r="N720" s="2">
        <v>159.0</v>
      </c>
      <c r="O720" s="2">
        <v>304.0</v>
      </c>
      <c r="P720" s="2">
        <v>266.0</v>
      </c>
      <c r="Q720" s="2">
        <v>12.0</v>
      </c>
      <c r="R720" s="2">
        <v>5231.0</v>
      </c>
      <c r="S720" s="2">
        <v>2524.0</v>
      </c>
      <c r="T720" s="2">
        <v>2707.0</v>
      </c>
      <c r="U720" s="2">
        <v>2524.0</v>
      </c>
      <c r="V720" s="2">
        <v>0.0</v>
      </c>
      <c r="W720" s="2">
        <v>2707.0</v>
      </c>
    </row>
    <row r="721" ht="15.0" customHeight="1">
      <c r="A721" s="2">
        <v>2025.0</v>
      </c>
      <c r="B721" s="2" t="s">
        <v>67</v>
      </c>
      <c r="C721" s="2">
        <v>1.0</v>
      </c>
      <c r="D721" s="2" t="s">
        <v>68</v>
      </c>
      <c r="E721" s="2" t="s">
        <v>61</v>
      </c>
      <c r="F721" s="2" t="s">
        <v>26</v>
      </c>
      <c r="G721" s="2" t="s">
        <v>27</v>
      </c>
      <c r="H721" s="2" t="s">
        <v>28</v>
      </c>
      <c r="I721" s="2" t="s">
        <v>31</v>
      </c>
      <c r="J721" s="2">
        <v>413.0</v>
      </c>
      <c r="K721" s="2">
        <v>258.0</v>
      </c>
      <c r="L721" s="2">
        <v>207.0</v>
      </c>
      <c r="M721" s="2">
        <v>186.0</v>
      </c>
      <c r="N721" s="2">
        <v>142.0</v>
      </c>
      <c r="O721" s="2">
        <v>262.0</v>
      </c>
      <c r="P721" s="2">
        <v>227.0</v>
      </c>
      <c r="Q721" s="2">
        <v>21.0</v>
      </c>
      <c r="R721" s="2">
        <v>4312.0</v>
      </c>
      <c r="S721" s="2">
        <v>587.0</v>
      </c>
      <c r="T721" s="2">
        <v>3725.0</v>
      </c>
      <c r="U721" s="2">
        <v>587.0</v>
      </c>
      <c r="V721" s="2">
        <v>0.0</v>
      </c>
      <c r="W721" s="2">
        <v>3725.0</v>
      </c>
    </row>
    <row r="722" ht="15.0" customHeight="1">
      <c r="A722" s="2">
        <v>2025.0</v>
      </c>
      <c r="B722" s="2" t="s">
        <v>67</v>
      </c>
      <c r="C722" s="2">
        <v>1.0</v>
      </c>
      <c r="D722" s="2" t="s">
        <v>68</v>
      </c>
      <c r="E722" s="2" t="s">
        <v>61</v>
      </c>
      <c r="F722" s="2" t="s">
        <v>26</v>
      </c>
      <c r="G722" s="2" t="s">
        <v>32</v>
      </c>
      <c r="H722" s="2" t="s">
        <v>28</v>
      </c>
      <c r="I722" s="2" t="s">
        <v>29</v>
      </c>
      <c r="J722" s="2">
        <v>7431.0</v>
      </c>
      <c r="K722" s="2">
        <v>3908.0</v>
      </c>
      <c r="L722" s="2">
        <v>1538.0</v>
      </c>
      <c r="M722" s="2">
        <v>1474.0</v>
      </c>
      <c r="N722" s="2">
        <v>1296.0</v>
      </c>
      <c r="O722" s="2">
        <v>2171.0</v>
      </c>
      <c r="P722" s="2">
        <v>1838.0</v>
      </c>
      <c r="Q722" s="2">
        <v>0.0</v>
      </c>
      <c r="R722" s="2">
        <v>14887.0</v>
      </c>
      <c r="S722" s="2">
        <v>8972.0</v>
      </c>
      <c r="T722" s="2">
        <v>5915.0</v>
      </c>
      <c r="U722" s="2">
        <v>8724.0</v>
      </c>
      <c r="V722" s="2">
        <v>248.0</v>
      </c>
      <c r="W722" s="2">
        <v>6163.0</v>
      </c>
    </row>
    <row r="723" ht="15.0" customHeight="1">
      <c r="A723" s="2">
        <v>2025.0</v>
      </c>
      <c r="B723" s="2" t="s">
        <v>67</v>
      </c>
      <c r="C723" s="2">
        <v>1.0</v>
      </c>
      <c r="D723" s="2" t="s">
        <v>68</v>
      </c>
      <c r="E723" s="2" t="s">
        <v>61</v>
      </c>
      <c r="F723" s="2" t="s">
        <v>26</v>
      </c>
      <c r="G723" s="2" t="s">
        <v>32</v>
      </c>
      <c r="H723" s="2" t="s">
        <v>28</v>
      </c>
      <c r="I723" s="2" t="s">
        <v>30</v>
      </c>
      <c r="J723" s="2">
        <v>904.0</v>
      </c>
      <c r="K723" s="2">
        <v>345.0</v>
      </c>
      <c r="L723" s="2">
        <v>128.0</v>
      </c>
      <c r="M723" s="2">
        <v>123.0</v>
      </c>
      <c r="N723" s="2">
        <v>105.0</v>
      </c>
      <c r="O723" s="2">
        <v>186.0</v>
      </c>
      <c r="P723" s="2">
        <v>160.0</v>
      </c>
      <c r="Q723" s="2">
        <v>0.0</v>
      </c>
      <c r="R723" s="2">
        <v>1364.0</v>
      </c>
      <c r="S723" s="2">
        <v>476.0</v>
      </c>
      <c r="T723" s="2">
        <v>888.0</v>
      </c>
      <c r="U723" s="2">
        <v>476.0</v>
      </c>
      <c r="V723" s="2">
        <v>0.0</v>
      </c>
      <c r="W723" s="2">
        <v>888.0</v>
      </c>
    </row>
    <row r="724" ht="15.0" customHeight="1">
      <c r="A724" s="2">
        <v>2025.0</v>
      </c>
      <c r="B724" s="2" t="s">
        <v>67</v>
      </c>
      <c r="C724" s="2">
        <v>1.0</v>
      </c>
      <c r="D724" s="2" t="s">
        <v>68</v>
      </c>
      <c r="E724" s="2" t="s">
        <v>61</v>
      </c>
      <c r="F724" s="2" t="s">
        <v>26</v>
      </c>
      <c r="G724" s="2" t="s">
        <v>32</v>
      </c>
      <c r="H724" s="2" t="s">
        <v>28</v>
      </c>
      <c r="I724" s="2" t="s">
        <v>31</v>
      </c>
      <c r="J724" s="2">
        <v>2976.0</v>
      </c>
      <c r="K724" s="2">
        <v>1558.0</v>
      </c>
      <c r="L724" s="2">
        <v>899.0</v>
      </c>
      <c r="M724" s="2">
        <v>844.0</v>
      </c>
      <c r="N724" s="2">
        <v>702.0</v>
      </c>
      <c r="O724" s="2">
        <v>1134.0</v>
      </c>
      <c r="P724" s="2">
        <v>911.0</v>
      </c>
      <c r="Q724" s="2">
        <v>0.0</v>
      </c>
      <c r="R724" s="2">
        <v>7307.0</v>
      </c>
      <c r="S724" s="2">
        <v>340.0</v>
      </c>
      <c r="T724" s="2">
        <v>6967.0</v>
      </c>
      <c r="U724" s="2">
        <v>340.0</v>
      </c>
      <c r="V724" s="2">
        <v>0.0</v>
      </c>
      <c r="W724" s="2">
        <v>6967.0</v>
      </c>
    </row>
    <row r="725" ht="15.0" customHeight="1">
      <c r="A725" s="2">
        <v>2025.0</v>
      </c>
      <c r="B725" s="2" t="s">
        <v>67</v>
      </c>
      <c r="C725" s="2">
        <v>1.0</v>
      </c>
      <c r="D725" s="2" t="s">
        <v>68</v>
      </c>
      <c r="E725" s="2" t="s">
        <v>61</v>
      </c>
      <c r="F725" s="2" t="s">
        <v>26</v>
      </c>
      <c r="G725" s="2" t="s">
        <v>33</v>
      </c>
      <c r="H725" s="2" t="s">
        <v>28</v>
      </c>
      <c r="I725" s="2" t="s">
        <v>29</v>
      </c>
      <c r="J725" s="2">
        <v>7422.0</v>
      </c>
      <c r="K725" s="2">
        <v>4274.0</v>
      </c>
      <c r="L725" s="2">
        <v>1871.0</v>
      </c>
      <c r="M725" s="2">
        <v>1806.0</v>
      </c>
      <c r="N725" s="2">
        <v>1169.0</v>
      </c>
      <c r="O725" s="2">
        <v>1499.0</v>
      </c>
      <c r="P725" s="2">
        <v>1367.0</v>
      </c>
      <c r="Q725" s="2">
        <v>482.0</v>
      </c>
      <c r="R725" s="2">
        <v>13959.0</v>
      </c>
      <c r="S725" s="2">
        <v>8116.0</v>
      </c>
      <c r="T725" s="2">
        <v>5843.0</v>
      </c>
      <c r="U725" s="2">
        <v>8086.0</v>
      </c>
      <c r="V725" s="2">
        <v>29.0</v>
      </c>
      <c r="W725" s="2">
        <v>5873.0</v>
      </c>
    </row>
    <row r="726" ht="15.0" customHeight="1">
      <c r="A726" s="2">
        <v>2025.0</v>
      </c>
      <c r="B726" s="2" t="s">
        <v>67</v>
      </c>
      <c r="C726" s="2">
        <v>1.0</v>
      </c>
      <c r="D726" s="2" t="s">
        <v>68</v>
      </c>
      <c r="E726" s="2" t="s">
        <v>61</v>
      </c>
      <c r="F726" s="2" t="s">
        <v>26</v>
      </c>
      <c r="G726" s="2" t="s">
        <v>33</v>
      </c>
      <c r="H726" s="2" t="s">
        <v>28</v>
      </c>
      <c r="I726" s="2" t="s">
        <v>30</v>
      </c>
      <c r="J726" s="2">
        <v>2466.0</v>
      </c>
      <c r="K726" s="2">
        <v>1418.0</v>
      </c>
      <c r="L726" s="2">
        <v>539.0</v>
      </c>
      <c r="M726" s="2">
        <v>511.0</v>
      </c>
      <c r="N726" s="2">
        <v>311.0</v>
      </c>
      <c r="O726" s="2">
        <v>398.0</v>
      </c>
      <c r="P726" s="2">
        <v>369.0</v>
      </c>
      <c r="Q726" s="2">
        <v>58.0</v>
      </c>
      <c r="R726" s="2">
        <v>3636.0</v>
      </c>
      <c r="S726" s="2">
        <v>1557.0</v>
      </c>
      <c r="T726" s="2">
        <v>2079.0</v>
      </c>
      <c r="U726" s="2">
        <v>1557.0</v>
      </c>
      <c r="V726" s="2">
        <v>0.0</v>
      </c>
      <c r="W726" s="2">
        <v>2079.0</v>
      </c>
    </row>
    <row r="727" ht="15.0" customHeight="1">
      <c r="A727" s="2">
        <v>2025.0</v>
      </c>
      <c r="B727" s="2" t="s">
        <v>67</v>
      </c>
      <c r="C727" s="2">
        <v>1.0</v>
      </c>
      <c r="D727" s="2" t="s">
        <v>68</v>
      </c>
      <c r="E727" s="2" t="s">
        <v>61</v>
      </c>
      <c r="F727" s="2" t="s">
        <v>26</v>
      </c>
      <c r="G727" s="2" t="s">
        <v>33</v>
      </c>
      <c r="H727" s="2" t="s">
        <v>28</v>
      </c>
      <c r="I727" s="2" t="s">
        <v>31</v>
      </c>
      <c r="J727" s="2">
        <v>257.0</v>
      </c>
      <c r="K727" s="2">
        <v>133.0</v>
      </c>
      <c r="L727" s="2">
        <v>131.0</v>
      </c>
      <c r="M727" s="2">
        <v>119.0</v>
      </c>
      <c r="N727" s="2">
        <v>79.0</v>
      </c>
      <c r="O727" s="2">
        <v>97.0</v>
      </c>
      <c r="P727" s="2">
        <v>91.0</v>
      </c>
      <c r="Q727" s="2">
        <v>23.0</v>
      </c>
      <c r="R727" s="2">
        <v>907.0</v>
      </c>
      <c r="S727" s="2">
        <v>92.0</v>
      </c>
      <c r="T727" s="2">
        <v>815.0</v>
      </c>
      <c r="U727" s="2">
        <v>92.0</v>
      </c>
      <c r="V727" s="2">
        <v>0.0</v>
      </c>
      <c r="W727" s="2">
        <v>815.0</v>
      </c>
    </row>
    <row r="728" ht="15.0" customHeight="1">
      <c r="A728" s="2">
        <v>2025.0</v>
      </c>
      <c r="B728" s="2" t="s">
        <v>67</v>
      </c>
      <c r="C728" s="2">
        <v>1.0</v>
      </c>
      <c r="D728" s="2" t="s">
        <v>68</v>
      </c>
      <c r="E728" s="2" t="s">
        <v>61</v>
      </c>
      <c r="F728" s="2" t="s">
        <v>26</v>
      </c>
      <c r="G728" s="2" t="s">
        <v>34</v>
      </c>
      <c r="H728" s="2" t="s">
        <v>35</v>
      </c>
      <c r="I728" s="2" t="s">
        <v>29</v>
      </c>
      <c r="J728" s="2">
        <v>18739.0</v>
      </c>
      <c r="K728" s="2">
        <v>12174.0</v>
      </c>
      <c r="L728" s="2">
        <v>5868.0</v>
      </c>
      <c r="M728" s="2">
        <v>5635.0</v>
      </c>
      <c r="N728" s="2">
        <v>2123.0</v>
      </c>
      <c r="O728" s="2">
        <v>2762.0</v>
      </c>
      <c r="P728" s="2">
        <v>2185.0</v>
      </c>
      <c r="Q728" s="2">
        <v>287.0</v>
      </c>
      <c r="R728" s="2">
        <v>27838.0</v>
      </c>
      <c r="S728" s="2">
        <v>19039.0</v>
      </c>
      <c r="T728" s="2">
        <v>8799.0</v>
      </c>
      <c r="U728" s="2">
        <v>18739.0</v>
      </c>
      <c r="V728" s="2">
        <v>300.0</v>
      </c>
      <c r="W728" s="2">
        <v>9099.0</v>
      </c>
    </row>
    <row r="729" ht="15.0" customHeight="1">
      <c r="A729" s="2">
        <v>2025.0</v>
      </c>
      <c r="B729" s="2" t="s">
        <v>67</v>
      </c>
      <c r="C729" s="2">
        <v>1.0</v>
      </c>
      <c r="D729" s="2" t="s">
        <v>68</v>
      </c>
      <c r="E729" s="2" t="s">
        <v>61</v>
      </c>
      <c r="F729" s="2" t="s">
        <v>26</v>
      </c>
      <c r="G729" s="2" t="s">
        <v>34</v>
      </c>
      <c r="H729" s="2" t="s">
        <v>35</v>
      </c>
      <c r="I729" s="2" t="s">
        <v>30</v>
      </c>
      <c r="J729" s="2">
        <v>4245.0</v>
      </c>
      <c r="K729" s="2">
        <v>2316.0</v>
      </c>
      <c r="L729" s="2">
        <v>883.0</v>
      </c>
      <c r="M729" s="2">
        <v>841.0</v>
      </c>
      <c r="N729" s="2">
        <v>328.0</v>
      </c>
      <c r="O729" s="2">
        <v>459.0</v>
      </c>
      <c r="P729" s="2">
        <v>368.0</v>
      </c>
      <c r="Q729" s="2">
        <v>32.0</v>
      </c>
      <c r="R729" s="2">
        <v>4701.0</v>
      </c>
      <c r="S729" s="2">
        <v>2577.0</v>
      </c>
      <c r="T729" s="2">
        <v>2124.0</v>
      </c>
      <c r="U729" s="2">
        <v>2577.0</v>
      </c>
      <c r="V729" s="2">
        <v>0.0</v>
      </c>
      <c r="W729" s="2">
        <v>2124.0</v>
      </c>
    </row>
    <row r="730" ht="15.0" customHeight="1">
      <c r="A730" s="2">
        <v>2025.0</v>
      </c>
      <c r="B730" s="2" t="s">
        <v>67</v>
      </c>
      <c r="C730" s="2">
        <v>1.0</v>
      </c>
      <c r="D730" s="2" t="s">
        <v>68</v>
      </c>
      <c r="E730" s="2" t="s">
        <v>61</v>
      </c>
      <c r="F730" s="2" t="s">
        <v>26</v>
      </c>
      <c r="G730" s="2" t="s">
        <v>34</v>
      </c>
      <c r="H730" s="2" t="s">
        <v>35</v>
      </c>
      <c r="I730" s="2" t="s">
        <v>31</v>
      </c>
      <c r="J730" s="2">
        <v>962.0</v>
      </c>
      <c r="K730" s="2">
        <v>581.0</v>
      </c>
      <c r="L730" s="2">
        <v>343.0</v>
      </c>
      <c r="M730" s="2">
        <v>304.0</v>
      </c>
      <c r="N730" s="2">
        <v>112.0</v>
      </c>
      <c r="O730" s="2">
        <v>145.0</v>
      </c>
      <c r="P730" s="2">
        <v>114.0</v>
      </c>
      <c r="Q730" s="2">
        <v>11.0</v>
      </c>
      <c r="R730" s="2">
        <v>1396.0</v>
      </c>
      <c r="S730" s="2">
        <v>0.0</v>
      </c>
      <c r="T730" s="2">
        <v>1396.0</v>
      </c>
      <c r="U730" s="2">
        <v>0.0</v>
      </c>
      <c r="V730" s="2">
        <v>0.0</v>
      </c>
      <c r="W730" s="2">
        <v>1396.0</v>
      </c>
    </row>
    <row r="731" ht="15.0" customHeight="1">
      <c r="A731" s="2">
        <v>2025.0</v>
      </c>
      <c r="B731" s="2" t="s">
        <v>67</v>
      </c>
      <c r="C731" s="2">
        <v>1.0</v>
      </c>
      <c r="D731" s="2" t="s">
        <v>68</v>
      </c>
      <c r="E731" s="2" t="s">
        <v>61</v>
      </c>
      <c r="F731" s="2" t="s">
        <v>26</v>
      </c>
      <c r="G731" s="2" t="s">
        <v>36</v>
      </c>
      <c r="H731" s="2" t="s">
        <v>35</v>
      </c>
      <c r="I731" s="2" t="s">
        <v>29</v>
      </c>
      <c r="J731" s="2">
        <v>9657.0</v>
      </c>
      <c r="K731" s="2">
        <v>6927.0</v>
      </c>
      <c r="L731" s="2">
        <v>3920.0</v>
      </c>
      <c r="M731" s="2">
        <v>3784.0</v>
      </c>
      <c r="N731" s="2">
        <v>1740.0</v>
      </c>
      <c r="O731" s="2">
        <v>2321.0</v>
      </c>
      <c r="P731" s="2">
        <v>1920.0</v>
      </c>
      <c r="Q731" s="2">
        <v>158.0</v>
      </c>
      <c r="R731" s="2">
        <v>20045.0</v>
      </c>
      <c r="S731" s="2">
        <v>12180.0</v>
      </c>
      <c r="T731" s="2">
        <v>7864.0</v>
      </c>
      <c r="U731" s="2">
        <v>12180.0</v>
      </c>
      <c r="V731" s="2">
        <v>0.0</v>
      </c>
      <c r="W731" s="2">
        <v>7864.0</v>
      </c>
    </row>
    <row r="732" ht="15.0" customHeight="1">
      <c r="A732" s="2">
        <v>2025.0</v>
      </c>
      <c r="B732" s="2" t="s">
        <v>67</v>
      </c>
      <c r="C732" s="2">
        <v>1.0</v>
      </c>
      <c r="D732" s="2" t="s">
        <v>68</v>
      </c>
      <c r="E732" s="2" t="s">
        <v>61</v>
      </c>
      <c r="F732" s="2" t="s">
        <v>26</v>
      </c>
      <c r="G732" s="2" t="s">
        <v>36</v>
      </c>
      <c r="H732" s="2" t="s">
        <v>35</v>
      </c>
      <c r="I732" s="2" t="s">
        <v>30</v>
      </c>
      <c r="J732" s="2">
        <v>768.0</v>
      </c>
      <c r="K732" s="2">
        <v>400.0</v>
      </c>
      <c r="L732" s="2">
        <v>230.0</v>
      </c>
      <c r="M732" s="2">
        <v>222.0</v>
      </c>
      <c r="N732" s="2">
        <v>95.0</v>
      </c>
      <c r="O732" s="2">
        <v>130.0</v>
      </c>
      <c r="P732" s="2">
        <v>112.0</v>
      </c>
      <c r="Q732" s="2">
        <v>10.0</v>
      </c>
      <c r="R732" s="2">
        <v>1221.0</v>
      </c>
      <c r="S732" s="2">
        <v>530.0</v>
      </c>
      <c r="T732" s="2">
        <v>691.0</v>
      </c>
      <c r="U732" s="2">
        <v>530.0</v>
      </c>
      <c r="V732" s="2">
        <v>0.0</v>
      </c>
      <c r="W732" s="2">
        <v>691.0</v>
      </c>
    </row>
    <row r="733" ht="15.0" customHeight="1">
      <c r="A733" s="2">
        <v>2025.0</v>
      </c>
      <c r="B733" s="2" t="s">
        <v>67</v>
      </c>
      <c r="C733" s="2">
        <v>1.0</v>
      </c>
      <c r="D733" s="2" t="s">
        <v>68</v>
      </c>
      <c r="E733" s="2" t="s">
        <v>61</v>
      </c>
      <c r="F733" s="2" t="s">
        <v>26</v>
      </c>
      <c r="G733" s="2" t="s">
        <v>36</v>
      </c>
      <c r="H733" s="2" t="s">
        <v>35</v>
      </c>
      <c r="I733" s="2" t="s">
        <v>31</v>
      </c>
      <c r="J733" s="2">
        <v>667.0</v>
      </c>
      <c r="K733" s="2">
        <v>466.0</v>
      </c>
      <c r="L733" s="2">
        <v>280.0</v>
      </c>
      <c r="M733" s="2">
        <v>262.0</v>
      </c>
      <c r="N733" s="2">
        <v>123.0</v>
      </c>
      <c r="O733" s="2">
        <v>183.0</v>
      </c>
      <c r="P733" s="2">
        <v>160.0</v>
      </c>
      <c r="Q733" s="2">
        <v>9.0</v>
      </c>
      <c r="R733" s="2">
        <v>1756.0</v>
      </c>
      <c r="S733" s="2">
        <v>0.0</v>
      </c>
      <c r="T733" s="2">
        <v>1756.0</v>
      </c>
      <c r="U733" s="2">
        <v>0.0</v>
      </c>
      <c r="V733" s="2">
        <v>0.0</v>
      </c>
      <c r="W733" s="2">
        <v>1756.0</v>
      </c>
    </row>
    <row r="734" ht="15.0" customHeight="1">
      <c r="A734" s="2">
        <v>2025.0</v>
      </c>
      <c r="B734" s="2" t="s">
        <v>67</v>
      </c>
      <c r="C734" s="2">
        <v>1.0</v>
      </c>
      <c r="D734" s="2" t="s">
        <v>68</v>
      </c>
      <c r="E734" s="2" t="s">
        <v>61</v>
      </c>
      <c r="F734" s="2" t="s">
        <v>26</v>
      </c>
      <c r="G734" s="2" t="s">
        <v>37</v>
      </c>
      <c r="H734" s="2" t="s">
        <v>35</v>
      </c>
      <c r="I734" s="2" t="s">
        <v>29</v>
      </c>
      <c r="J734" s="2">
        <v>1558.0</v>
      </c>
      <c r="K734" s="2">
        <v>778.0</v>
      </c>
      <c r="L734" s="2">
        <v>302.0</v>
      </c>
      <c r="M734" s="2">
        <v>278.0</v>
      </c>
      <c r="N734" s="2">
        <v>228.0</v>
      </c>
      <c r="O734" s="2">
        <v>677.0</v>
      </c>
      <c r="P734" s="2">
        <v>565.0</v>
      </c>
      <c r="Q734" s="2">
        <v>7.0</v>
      </c>
      <c r="R734" s="2">
        <v>12249.0</v>
      </c>
      <c r="S734" s="2">
        <v>7298.0</v>
      </c>
      <c r="T734" s="2">
        <v>4951.0</v>
      </c>
      <c r="U734" s="2">
        <v>7298.0</v>
      </c>
      <c r="V734" s="2">
        <v>0.0</v>
      </c>
      <c r="W734" s="2">
        <v>4951.0</v>
      </c>
    </row>
    <row r="735" ht="15.0" customHeight="1">
      <c r="A735" s="2">
        <v>2025.0</v>
      </c>
      <c r="B735" s="2" t="s">
        <v>67</v>
      </c>
      <c r="C735" s="2">
        <v>1.0</v>
      </c>
      <c r="D735" s="2" t="s">
        <v>68</v>
      </c>
      <c r="E735" s="2" t="s">
        <v>61</v>
      </c>
      <c r="F735" s="2" t="s">
        <v>26</v>
      </c>
      <c r="G735" s="2" t="s">
        <v>37</v>
      </c>
      <c r="H735" s="2" t="s">
        <v>35</v>
      </c>
      <c r="I735" s="2" t="s">
        <v>30</v>
      </c>
      <c r="J735" s="2">
        <v>2.0</v>
      </c>
      <c r="K735" s="2">
        <v>1.0</v>
      </c>
      <c r="L735" s="2">
        <v>0.0</v>
      </c>
      <c r="M735" s="2">
        <v>0.0</v>
      </c>
      <c r="N735" s="2">
        <v>0.0</v>
      </c>
      <c r="O735" s="2">
        <v>0.0</v>
      </c>
      <c r="P735" s="2">
        <v>0.0</v>
      </c>
      <c r="Q735" s="2">
        <v>0.0</v>
      </c>
      <c r="R735" s="2">
        <v>0.0</v>
      </c>
      <c r="S735" s="2">
        <v>0.0</v>
      </c>
      <c r="T735" s="2">
        <v>0.0</v>
      </c>
      <c r="U735" s="2">
        <v>0.0</v>
      </c>
      <c r="V735" s="2">
        <v>0.0</v>
      </c>
      <c r="W735" s="2">
        <v>0.0</v>
      </c>
    </row>
    <row r="736" ht="15.0" customHeight="1">
      <c r="A736" s="2">
        <v>2025.0</v>
      </c>
      <c r="B736" s="2" t="s">
        <v>67</v>
      </c>
      <c r="C736" s="2">
        <v>1.0</v>
      </c>
      <c r="D736" s="2" t="s">
        <v>68</v>
      </c>
      <c r="E736" s="2" t="s">
        <v>61</v>
      </c>
      <c r="F736" s="2" t="s">
        <v>26</v>
      </c>
      <c r="G736" s="2" t="s">
        <v>37</v>
      </c>
      <c r="H736" s="2" t="s">
        <v>35</v>
      </c>
      <c r="I736" s="2" t="s">
        <v>31</v>
      </c>
      <c r="J736" s="2">
        <v>46.0</v>
      </c>
      <c r="K736" s="2">
        <v>31.0</v>
      </c>
      <c r="L736" s="2">
        <v>15.0</v>
      </c>
      <c r="M736" s="2">
        <v>10.0</v>
      </c>
      <c r="N736" s="2">
        <v>8.0</v>
      </c>
      <c r="O736" s="2">
        <v>26.0</v>
      </c>
      <c r="P736" s="2">
        <v>25.0</v>
      </c>
      <c r="Q736" s="2">
        <v>0.0</v>
      </c>
      <c r="R736" s="2">
        <v>544.0</v>
      </c>
      <c r="S736" s="2">
        <v>0.0</v>
      </c>
      <c r="T736" s="2">
        <v>544.0</v>
      </c>
      <c r="U736" s="2">
        <v>0.0</v>
      </c>
      <c r="V736" s="2">
        <v>0.0</v>
      </c>
      <c r="W736" s="2">
        <v>544.0</v>
      </c>
    </row>
    <row r="737" ht="15.0" customHeight="1">
      <c r="A737" s="2">
        <v>2025.0</v>
      </c>
      <c r="B737" s="2" t="s">
        <v>67</v>
      </c>
      <c r="C737" s="2">
        <v>1.0</v>
      </c>
      <c r="D737" s="2" t="s">
        <v>68</v>
      </c>
      <c r="E737" s="2" t="s">
        <v>61</v>
      </c>
      <c r="F737" s="2" t="s">
        <v>26</v>
      </c>
      <c r="G737" s="2" t="s">
        <v>38</v>
      </c>
      <c r="H737" s="2" t="s">
        <v>35</v>
      </c>
      <c r="I737" s="2" t="s">
        <v>29</v>
      </c>
      <c r="J737" s="2">
        <v>7244.0</v>
      </c>
      <c r="K737" s="2">
        <v>4227.0</v>
      </c>
      <c r="L737" s="2">
        <v>2262.0</v>
      </c>
      <c r="M737" s="2">
        <v>2189.0</v>
      </c>
      <c r="N737" s="2">
        <v>1552.0</v>
      </c>
      <c r="O737" s="2">
        <v>2627.0</v>
      </c>
      <c r="P737" s="2">
        <v>2159.0</v>
      </c>
      <c r="Q737" s="2">
        <v>132.0</v>
      </c>
      <c r="R737" s="2">
        <v>28491.0</v>
      </c>
      <c r="S737" s="2">
        <v>15530.0</v>
      </c>
      <c r="T737" s="2">
        <v>12960.0</v>
      </c>
      <c r="U737" s="2">
        <v>15515.0</v>
      </c>
      <c r="V737" s="2">
        <v>15.0</v>
      </c>
      <c r="W737" s="2">
        <v>12976.0</v>
      </c>
    </row>
    <row r="738" ht="15.0" customHeight="1">
      <c r="A738" s="2">
        <v>2025.0</v>
      </c>
      <c r="B738" s="2" t="s">
        <v>67</v>
      </c>
      <c r="C738" s="2">
        <v>1.0</v>
      </c>
      <c r="D738" s="2" t="s">
        <v>68</v>
      </c>
      <c r="E738" s="2" t="s">
        <v>61</v>
      </c>
      <c r="F738" s="2" t="s">
        <v>26</v>
      </c>
      <c r="G738" s="2" t="s">
        <v>38</v>
      </c>
      <c r="H738" s="2" t="s">
        <v>35</v>
      </c>
      <c r="I738" s="2" t="s">
        <v>30</v>
      </c>
      <c r="J738" s="2">
        <v>4612.0</v>
      </c>
      <c r="K738" s="2">
        <v>1985.0</v>
      </c>
      <c r="L738" s="2">
        <v>1183.0</v>
      </c>
      <c r="M738" s="2">
        <v>1146.0</v>
      </c>
      <c r="N738" s="2">
        <v>780.0</v>
      </c>
      <c r="O738" s="2">
        <v>1176.0</v>
      </c>
      <c r="P738" s="2">
        <v>901.0</v>
      </c>
      <c r="Q738" s="2">
        <v>59.0</v>
      </c>
      <c r="R738" s="2">
        <v>11794.0</v>
      </c>
      <c r="S738" s="2">
        <v>7132.0</v>
      </c>
      <c r="T738" s="2">
        <v>4662.0</v>
      </c>
      <c r="U738" s="2">
        <v>7132.0</v>
      </c>
      <c r="V738" s="2">
        <v>0.0</v>
      </c>
      <c r="W738" s="2">
        <v>4662.0</v>
      </c>
    </row>
    <row r="739" ht="15.0" customHeight="1">
      <c r="A739" s="2">
        <v>2025.0</v>
      </c>
      <c r="B739" s="2" t="s">
        <v>67</v>
      </c>
      <c r="C739" s="2">
        <v>1.0</v>
      </c>
      <c r="D739" s="2" t="s">
        <v>68</v>
      </c>
      <c r="E739" s="2" t="s">
        <v>61</v>
      </c>
      <c r="F739" s="2" t="s">
        <v>26</v>
      </c>
      <c r="G739" s="2" t="s">
        <v>38</v>
      </c>
      <c r="H739" s="2" t="s">
        <v>35</v>
      </c>
      <c r="I739" s="2" t="s">
        <v>31</v>
      </c>
      <c r="J739" s="2">
        <v>2640.0</v>
      </c>
      <c r="K739" s="2">
        <v>530.0</v>
      </c>
      <c r="L739" s="2">
        <v>317.0</v>
      </c>
      <c r="M739" s="2">
        <v>281.0</v>
      </c>
      <c r="N739" s="2">
        <v>199.0</v>
      </c>
      <c r="O739" s="2">
        <v>338.0</v>
      </c>
      <c r="P739" s="2">
        <v>265.0</v>
      </c>
      <c r="Q739" s="2">
        <v>9.0</v>
      </c>
      <c r="R739" s="2">
        <v>3480.0</v>
      </c>
      <c r="S739" s="2">
        <v>0.0</v>
      </c>
      <c r="T739" s="2">
        <v>3480.0</v>
      </c>
      <c r="U739" s="2">
        <v>0.0</v>
      </c>
      <c r="V739" s="2">
        <v>0.0</v>
      </c>
      <c r="W739" s="2">
        <v>3480.0</v>
      </c>
    </row>
    <row r="740" ht="15.0" customHeight="1">
      <c r="A740" s="2">
        <v>2025.0</v>
      </c>
      <c r="B740" s="2" t="s">
        <v>67</v>
      </c>
      <c r="C740" s="2">
        <v>1.0</v>
      </c>
      <c r="D740" s="2" t="s">
        <v>68</v>
      </c>
      <c r="E740" s="2" t="s">
        <v>61</v>
      </c>
      <c r="F740" s="2" t="s">
        <v>26</v>
      </c>
      <c r="G740" s="2" t="s">
        <v>39</v>
      </c>
      <c r="H740" s="2" t="s">
        <v>40</v>
      </c>
      <c r="I740" s="2" t="s">
        <v>29</v>
      </c>
      <c r="J740" s="2">
        <v>14123.0</v>
      </c>
      <c r="K740" s="2">
        <v>9198.0</v>
      </c>
      <c r="L740" s="2">
        <v>5151.0</v>
      </c>
      <c r="M740" s="2">
        <v>4857.0</v>
      </c>
      <c r="N740" s="2">
        <v>1958.0</v>
      </c>
      <c r="O740" s="2">
        <v>2550.0</v>
      </c>
      <c r="P740" s="2">
        <v>1818.0</v>
      </c>
      <c r="Q740" s="2">
        <v>0.0</v>
      </c>
      <c r="R740" s="2">
        <v>24313.0</v>
      </c>
      <c r="S740" s="2">
        <v>12523.0</v>
      </c>
      <c r="T740" s="2">
        <v>11790.0</v>
      </c>
      <c r="U740" s="2">
        <v>12523.0</v>
      </c>
      <c r="V740" s="2">
        <v>0.0</v>
      </c>
      <c r="W740" s="2">
        <v>11790.0</v>
      </c>
    </row>
    <row r="741" ht="15.0" customHeight="1">
      <c r="A741" s="2">
        <v>2025.0</v>
      </c>
      <c r="B741" s="2" t="s">
        <v>67</v>
      </c>
      <c r="C741" s="2">
        <v>1.0</v>
      </c>
      <c r="D741" s="2" t="s">
        <v>68</v>
      </c>
      <c r="E741" s="2" t="s">
        <v>61</v>
      </c>
      <c r="F741" s="2" t="s">
        <v>26</v>
      </c>
      <c r="G741" s="2" t="s">
        <v>39</v>
      </c>
      <c r="H741" s="2" t="s">
        <v>40</v>
      </c>
      <c r="I741" s="2" t="s">
        <v>30</v>
      </c>
      <c r="J741" s="2">
        <v>1810.0</v>
      </c>
      <c r="K741" s="2">
        <v>938.0</v>
      </c>
      <c r="L741" s="2">
        <v>381.0</v>
      </c>
      <c r="M741" s="2">
        <v>355.0</v>
      </c>
      <c r="N741" s="2">
        <v>142.0</v>
      </c>
      <c r="O741" s="2">
        <v>205.0</v>
      </c>
      <c r="P741" s="2">
        <v>155.0</v>
      </c>
      <c r="Q741" s="2">
        <v>0.0</v>
      </c>
      <c r="R741" s="2">
        <v>1980.0</v>
      </c>
      <c r="S741" s="2">
        <v>903.0</v>
      </c>
      <c r="T741" s="2">
        <v>1077.0</v>
      </c>
      <c r="U741" s="2">
        <v>903.0</v>
      </c>
      <c r="V741" s="2">
        <v>0.0</v>
      </c>
      <c r="W741" s="2">
        <v>1077.0</v>
      </c>
    </row>
    <row r="742" ht="15.0" customHeight="1">
      <c r="A742" s="2">
        <v>2025.0</v>
      </c>
      <c r="B742" s="2" t="s">
        <v>67</v>
      </c>
      <c r="C742" s="2">
        <v>1.0</v>
      </c>
      <c r="D742" s="2" t="s">
        <v>68</v>
      </c>
      <c r="E742" s="2" t="s">
        <v>61</v>
      </c>
      <c r="F742" s="2" t="s">
        <v>26</v>
      </c>
      <c r="G742" s="2" t="s">
        <v>39</v>
      </c>
      <c r="H742" s="2" t="s">
        <v>40</v>
      </c>
      <c r="I742" s="2" t="s">
        <v>31</v>
      </c>
      <c r="J742" s="2">
        <v>2777.0</v>
      </c>
      <c r="K742" s="2">
        <v>1740.0</v>
      </c>
      <c r="L742" s="2">
        <v>881.0</v>
      </c>
      <c r="M742" s="2">
        <v>770.0</v>
      </c>
      <c r="N742" s="2">
        <v>355.0</v>
      </c>
      <c r="O742" s="2">
        <v>502.0</v>
      </c>
      <c r="P742" s="2">
        <v>366.0</v>
      </c>
      <c r="Q742" s="2">
        <v>0.0</v>
      </c>
      <c r="R742" s="2">
        <v>4889.0</v>
      </c>
      <c r="S742" s="2">
        <v>0.0</v>
      </c>
      <c r="T742" s="2">
        <v>4889.0</v>
      </c>
      <c r="U742" s="2">
        <v>0.0</v>
      </c>
      <c r="V742" s="2">
        <v>0.0</v>
      </c>
      <c r="W742" s="2">
        <v>4889.0</v>
      </c>
    </row>
    <row r="743" ht="15.0" customHeight="1">
      <c r="A743" s="2">
        <v>2025.0</v>
      </c>
      <c r="B743" s="2" t="s">
        <v>67</v>
      </c>
      <c r="C743" s="2">
        <v>1.0</v>
      </c>
      <c r="D743" s="2" t="s">
        <v>68</v>
      </c>
      <c r="E743" s="2" t="s">
        <v>61</v>
      </c>
      <c r="F743" s="2" t="s">
        <v>26</v>
      </c>
      <c r="G743" s="2" t="s">
        <v>41</v>
      </c>
      <c r="H743" s="2" t="s">
        <v>42</v>
      </c>
      <c r="I743" s="2" t="s">
        <v>29</v>
      </c>
      <c r="J743" s="2">
        <v>41292.0</v>
      </c>
      <c r="K743" s="2">
        <v>22828.0</v>
      </c>
      <c r="L743" s="2">
        <v>9309.0</v>
      </c>
      <c r="M743" s="2">
        <v>8765.0</v>
      </c>
      <c r="N743" s="2">
        <v>5643.0</v>
      </c>
      <c r="O743" s="2">
        <v>7321.0</v>
      </c>
      <c r="P743" s="2">
        <v>5857.0</v>
      </c>
      <c r="Q743" s="2">
        <v>312.0</v>
      </c>
      <c r="R743" s="2">
        <v>46788.0</v>
      </c>
      <c r="S743" s="2">
        <v>27144.0</v>
      </c>
      <c r="T743" s="2">
        <v>19644.0</v>
      </c>
      <c r="U743" s="2">
        <v>26631.0</v>
      </c>
      <c r="V743" s="2">
        <v>513.0</v>
      </c>
      <c r="W743" s="2">
        <v>20157.0</v>
      </c>
    </row>
    <row r="744" ht="15.0" customHeight="1">
      <c r="A744" s="2">
        <v>2025.0</v>
      </c>
      <c r="B744" s="2" t="s">
        <v>67</v>
      </c>
      <c r="C744" s="2">
        <v>1.0</v>
      </c>
      <c r="D744" s="2" t="s">
        <v>68</v>
      </c>
      <c r="E744" s="2" t="s">
        <v>61</v>
      </c>
      <c r="F744" s="2" t="s">
        <v>26</v>
      </c>
      <c r="G744" s="2" t="s">
        <v>41</v>
      </c>
      <c r="H744" s="2" t="s">
        <v>42</v>
      </c>
      <c r="I744" s="2" t="s">
        <v>30</v>
      </c>
      <c r="J744" s="2">
        <v>7908.0</v>
      </c>
      <c r="K744" s="2">
        <v>3865.0</v>
      </c>
      <c r="L744" s="2">
        <v>2092.0</v>
      </c>
      <c r="M744" s="2">
        <v>1992.0</v>
      </c>
      <c r="N744" s="2">
        <v>1255.0</v>
      </c>
      <c r="O744" s="2">
        <v>1629.0</v>
      </c>
      <c r="P744" s="2">
        <v>1288.0</v>
      </c>
      <c r="Q744" s="2">
        <v>70.0</v>
      </c>
      <c r="R744" s="2">
        <v>9733.0</v>
      </c>
      <c r="S744" s="2">
        <v>6231.0</v>
      </c>
      <c r="T744" s="2">
        <v>3503.0</v>
      </c>
      <c r="U744" s="2">
        <v>6231.0</v>
      </c>
      <c r="V744" s="2">
        <v>0.0</v>
      </c>
      <c r="W744" s="2">
        <v>3503.0</v>
      </c>
    </row>
    <row r="745" ht="15.0" customHeight="1">
      <c r="A745" s="2">
        <v>2025.0</v>
      </c>
      <c r="B745" s="2" t="s">
        <v>67</v>
      </c>
      <c r="C745" s="2">
        <v>1.0</v>
      </c>
      <c r="D745" s="2" t="s">
        <v>68</v>
      </c>
      <c r="E745" s="2" t="s">
        <v>61</v>
      </c>
      <c r="F745" s="2" t="s">
        <v>26</v>
      </c>
      <c r="G745" s="2" t="s">
        <v>41</v>
      </c>
      <c r="H745" s="2" t="s">
        <v>42</v>
      </c>
      <c r="I745" s="2" t="s">
        <v>31</v>
      </c>
      <c r="J745" s="2">
        <v>11609.0</v>
      </c>
      <c r="K745" s="2">
        <v>6474.0</v>
      </c>
      <c r="L745" s="2">
        <v>4969.0</v>
      </c>
      <c r="M745" s="2">
        <v>4527.0</v>
      </c>
      <c r="N745" s="2">
        <v>2723.0</v>
      </c>
      <c r="O745" s="2">
        <v>3534.0</v>
      </c>
      <c r="P745" s="2">
        <v>2891.0</v>
      </c>
      <c r="Q745" s="2">
        <v>174.0</v>
      </c>
      <c r="R745" s="2">
        <v>22626.0</v>
      </c>
      <c r="S745" s="2">
        <v>419.0</v>
      </c>
      <c r="T745" s="2">
        <v>22207.0</v>
      </c>
      <c r="U745" s="2">
        <v>419.0</v>
      </c>
      <c r="V745" s="2">
        <v>0.0</v>
      </c>
      <c r="W745" s="2">
        <v>22207.0</v>
      </c>
    </row>
    <row r="746" ht="15.0" customHeight="1">
      <c r="A746" s="2">
        <v>2025.0</v>
      </c>
      <c r="B746" s="2" t="s">
        <v>67</v>
      </c>
      <c r="C746" s="2">
        <v>1.0</v>
      </c>
      <c r="D746" s="2" t="s">
        <v>68</v>
      </c>
      <c r="E746" s="2" t="s">
        <v>61</v>
      </c>
      <c r="F746" s="2" t="s">
        <v>26</v>
      </c>
      <c r="G746" s="2" t="s">
        <v>43</v>
      </c>
      <c r="H746" s="2" t="s">
        <v>42</v>
      </c>
      <c r="I746" s="2" t="s">
        <v>29</v>
      </c>
      <c r="J746" s="2">
        <v>4608.0</v>
      </c>
      <c r="K746" s="2">
        <v>2210.0</v>
      </c>
      <c r="L746" s="2">
        <v>1186.0</v>
      </c>
      <c r="M746" s="2">
        <v>1110.0</v>
      </c>
      <c r="N746" s="2">
        <v>311.0</v>
      </c>
      <c r="O746" s="2">
        <v>622.0</v>
      </c>
      <c r="P746" s="2">
        <v>449.0</v>
      </c>
      <c r="Q746" s="2">
        <v>0.0</v>
      </c>
      <c r="R746" s="2">
        <v>14411.0</v>
      </c>
      <c r="S746" s="2">
        <v>8899.0</v>
      </c>
      <c r="T746" s="2">
        <v>5512.0</v>
      </c>
      <c r="U746" s="2">
        <v>8466.0</v>
      </c>
      <c r="V746" s="2">
        <v>433.0</v>
      </c>
      <c r="W746" s="2">
        <v>5945.0</v>
      </c>
    </row>
    <row r="747" ht="15.0" customHeight="1">
      <c r="A747" s="2">
        <v>2025.0</v>
      </c>
      <c r="B747" s="2" t="s">
        <v>67</v>
      </c>
      <c r="C747" s="2">
        <v>1.0</v>
      </c>
      <c r="D747" s="2" t="s">
        <v>68</v>
      </c>
      <c r="E747" s="2" t="s">
        <v>61</v>
      </c>
      <c r="F747" s="2" t="s">
        <v>26</v>
      </c>
      <c r="G747" s="2" t="s">
        <v>43</v>
      </c>
      <c r="H747" s="2" t="s">
        <v>42</v>
      </c>
      <c r="I747" s="2" t="s">
        <v>30</v>
      </c>
      <c r="J747" s="2">
        <v>594.0</v>
      </c>
      <c r="K747" s="2">
        <v>212.0</v>
      </c>
      <c r="L747" s="2">
        <v>98.0</v>
      </c>
      <c r="M747" s="2">
        <v>90.0</v>
      </c>
      <c r="N747" s="2">
        <v>36.0</v>
      </c>
      <c r="O747" s="2">
        <v>117.0</v>
      </c>
      <c r="P747" s="2">
        <v>94.0</v>
      </c>
      <c r="Q747" s="2">
        <v>1.0</v>
      </c>
      <c r="R747" s="2">
        <v>2872.0</v>
      </c>
      <c r="S747" s="2">
        <v>954.0</v>
      </c>
      <c r="T747" s="2">
        <v>1918.0</v>
      </c>
      <c r="U747" s="2">
        <v>954.0</v>
      </c>
      <c r="V747" s="2">
        <v>0.0</v>
      </c>
      <c r="W747" s="2">
        <v>1918.0</v>
      </c>
    </row>
    <row r="748" ht="15.0" customHeight="1">
      <c r="A748" s="2">
        <v>2025.0</v>
      </c>
      <c r="B748" s="2" t="s">
        <v>67</v>
      </c>
      <c r="C748" s="2">
        <v>1.0</v>
      </c>
      <c r="D748" s="2" t="s">
        <v>68</v>
      </c>
      <c r="E748" s="2" t="s">
        <v>61</v>
      </c>
      <c r="F748" s="2" t="s">
        <v>26</v>
      </c>
      <c r="G748" s="2" t="s">
        <v>43</v>
      </c>
      <c r="H748" s="2" t="s">
        <v>42</v>
      </c>
      <c r="I748" s="2" t="s">
        <v>31</v>
      </c>
      <c r="J748" s="2">
        <v>235.0</v>
      </c>
      <c r="K748" s="2">
        <v>159.0</v>
      </c>
      <c r="L748" s="2">
        <v>101.0</v>
      </c>
      <c r="M748" s="2">
        <v>84.0</v>
      </c>
      <c r="N748" s="2">
        <v>22.0</v>
      </c>
      <c r="O748" s="2">
        <v>54.0</v>
      </c>
      <c r="P748" s="2">
        <v>38.0</v>
      </c>
      <c r="Q748" s="2">
        <v>1.0</v>
      </c>
      <c r="R748" s="2">
        <v>1424.0</v>
      </c>
      <c r="S748" s="2">
        <v>0.0</v>
      </c>
      <c r="T748" s="2">
        <v>1424.0</v>
      </c>
      <c r="U748" s="2">
        <v>0.0</v>
      </c>
      <c r="V748" s="2">
        <v>0.0</v>
      </c>
      <c r="W748" s="2">
        <v>1424.0</v>
      </c>
    </row>
    <row r="749" ht="15.0" customHeight="1">
      <c r="A749" s="2">
        <v>2025.0</v>
      </c>
      <c r="B749" s="2" t="s">
        <v>67</v>
      </c>
      <c r="C749" s="2">
        <v>1.0</v>
      </c>
      <c r="D749" s="2" t="s">
        <v>68</v>
      </c>
      <c r="E749" s="2" t="s">
        <v>61</v>
      </c>
      <c r="F749" s="2" t="s">
        <v>26</v>
      </c>
      <c r="G749" s="2" t="s">
        <v>44</v>
      </c>
      <c r="H749" s="2" t="s">
        <v>45</v>
      </c>
      <c r="I749" s="2" t="s">
        <v>29</v>
      </c>
      <c r="J749" s="2">
        <v>10293.0</v>
      </c>
      <c r="K749" s="2">
        <v>5861.0</v>
      </c>
      <c r="L749" s="2">
        <v>2027.0</v>
      </c>
      <c r="M749" s="2">
        <v>1939.0</v>
      </c>
      <c r="N749" s="2">
        <v>1649.0</v>
      </c>
      <c r="O749" s="2">
        <v>3090.0</v>
      </c>
      <c r="P749" s="2">
        <v>2623.0</v>
      </c>
      <c r="Q749" s="2">
        <v>1224.0</v>
      </c>
      <c r="R749" s="2">
        <v>80588.0</v>
      </c>
      <c r="S749" s="2">
        <v>57926.0</v>
      </c>
      <c r="T749" s="2">
        <v>22662.0</v>
      </c>
      <c r="U749" s="2">
        <v>57807.0</v>
      </c>
      <c r="V749" s="2">
        <v>119.0</v>
      </c>
      <c r="W749" s="2">
        <v>22781.0</v>
      </c>
    </row>
    <row r="750" ht="15.0" customHeight="1">
      <c r="A750" s="2">
        <v>2025.0</v>
      </c>
      <c r="B750" s="2" t="s">
        <v>67</v>
      </c>
      <c r="C750" s="2">
        <v>1.0</v>
      </c>
      <c r="D750" s="2" t="s">
        <v>68</v>
      </c>
      <c r="E750" s="2" t="s">
        <v>61</v>
      </c>
      <c r="F750" s="2" t="s">
        <v>26</v>
      </c>
      <c r="G750" s="2" t="s">
        <v>44</v>
      </c>
      <c r="H750" s="2" t="s">
        <v>45</v>
      </c>
      <c r="I750" s="2" t="s">
        <v>30</v>
      </c>
      <c r="J750" s="2">
        <v>4203.0</v>
      </c>
      <c r="K750" s="2">
        <v>1747.0</v>
      </c>
      <c r="L750" s="2">
        <v>477.0</v>
      </c>
      <c r="M750" s="2">
        <v>449.0</v>
      </c>
      <c r="N750" s="2">
        <v>363.0</v>
      </c>
      <c r="O750" s="2">
        <v>678.0</v>
      </c>
      <c r="P750" s="2">
        <v>584.0</v>
      </c>
      <c r="Q750" s="2">
        <v>280.0</v>
      </c>
      <c r="R750" s="2">
        <v>15505.0</v>
      </c>
      <c r="S750" s="2">
        <v>12903.0</v>
      </c>
      <c r="T750" s="2">
        <v>2602.0</v>
      </c>
      <c r="U750" s="2">
        <v>12903.0</v>
      </c>
      <c r="V750" s="2">
        <v>0.0</v>
      </c>
      <c r="W750" s="2">
        <v>2602.0</v>
      </c>
    </row>
    <row r="751" ht="15.0" customHeight="1">
      <c r="A751" s="2">
        <v>2025.0</v>
      </c>
      <c r="B751" s="2" t="s">
        <v>67</v>
      </c>
      <c r="C751" s="2">
        <v>1.0</v>
      </c>
      <c r="D751" s="2" t="s">
        <v>68</v>
      </c>
      <c r="E751" s="2" t="s">
        <v>61</v>
      </c>
      <c r="F751" s="2" t="s">
        <v>26</v>
      </c>
      <c r="G751" s="2" t="s">
        <v>44</v>
      </c>
      <c r="H751" s="2" t="s">
        <v>45</v>
      </c>
      <c r="I751" s="2" t="s">
        <v>31</v>
      </c>
      <c r="J751" s="2">
        <v>812.0</v>
      </c>
      <c r="K751" s="2">
        <v>493.0</v>
      </c>
      <c r="L751" s="2">
        <v>205.0</v>
      </c>
      <c r="M751" s="2">
        <v>183.0</v>
      </c>
      <c r="N751" s="2">
        <v>148.0</v>
      </c>
      <c r="O751" s="2">
        <v>294.0</v>
      </c>
      <c r="P751" s="2">
        <v>250.0</v>
      </c>
      <c r="Q751" s="2">
        <v>107.0</v>
      </c>
      <c r="R751" s="2">
        <v>8124.0</v>
      </c>
      <c r="S751" s="2">
        <v>135.0</v>
      </c>
      <c r="T751" s="2">
        <v>7989.0</v>
      </c>
      <c r="U751" s="2">
        <v>135.0</v>
      </c>
      <c r="V751" s="2">
        <v>0.0</v>
      </c>
      <c r="W751" s="2">
        <v>7989.0</v>
      </c>
    </row>
    <row r="752" ht="15.0" customHeight="1">
      <c r="A752" s="2">
        <v>2025.0</v>
      </c>
      <c r="B752" s="2" t="s">
        <v>67</v>
      </c>
      <c r="C752" s="2">
        <v>1.0</v>
      </c>
      <c r="D752" s="2" t="s">
        <v>68</v>
      </c>
      <c r="E752" s="2" t="s">
        <v>61</v>
      </c>
      <c r="F752" s="2" t="s">
        <v>26</v>
      </c>
      <c r="G752" s="2" t="s">
        <v>46</v>
      </c>
      <c r="H752" s="2" t="s">
        <v>47</v>
      </c>
      <c r="I752" s="2" t="s">
        <v>29</v>
      </c>
      <c r="J752" s="2">
        <v>6077.0</v>
      </c>
      <c r="K752" s="2">
        <v>3151.0</v>
      </c>
      <c r="L752" s="2">
        <v>1255.0</v>
      </c>
      <c r="M752" s="2">
        <v>1183.0</v>
      </c>
      <c r="N752" s="2">
        <v>1155.0</v>
      </c>
      <c r="O752" s="2">
        <v>2561.0</v>
      </c>
      <c r="P752" s="2">
        <v>1343.0</v>
      </c>
      <c r="Q752" s="2">
        <v>266.0</v>
      </c>
      <c r="R752" s="2">
        <v>46083.0</v>
      </c>
      <c r="S752" s="2">
        <v>28431.0</v>
      </c>
      <c r="T752" s="2">
        <v>17653.0</v>
      </c>
      <c r="U752" s="2">
        <v>28431.0</v>
      </c>
      <c r="V752" s="2">
        <v>0.0</v>
      </c>
      <c r="W752" s="2">
        <v>17653.0</v>
      </c>
    </row>
    <row r="753" ht="15.0" customHeight="1">
      <c r="A753" s="2">
        <v>2025.0</v>
      </c>
      <c r="B753" s="2" t="s">
        <v>67</v>
      </c>
      <c r="C753" s="2">
        <v>1.0</v>
      </c>
      <c r="D753" s="2" t="s">
        <v>68</v>
      </c>
      <c r="E753" s="2" t="s">
        <v>61</v>
      </c>
      <c r="F753" s="2" t="s">
        <v>26</v>
      </c>
      <c r="G753" s="2" t="s">
        <v>46</v>
      </c>
      <c r="H753" s="2" t="s">
        <v>47</v>
      </c>
      <c r="I753" s="2" t="s">
        <v>30</v>
      </c>
      <c r="J753" s="2">
        <v>1041.0</v>
      </c>
      <c r="K753" s="2">
        <v>393.0</v>
      </c>
      <c r="L753" s="2">
        <v>160.0</v>
      </c>
      <c r="M753" s="2">
        <v>151.0</v>
      </c>
      <c r="N753" s="2">
        <v>146.0</v>
      </c>
      <c r="O753" s="2">
        <v>370.0</v>
      </c>
      <c r="P753" s="2">
        <v>171.0</v>
      </c>
      <c r="Q753" s="2">
        <v>38.0</v>
      </c>
      <c r="R753" s="2">
        <v>6782.0</v>
      </c>
      <c r="S753" s="2">
        <v>3040.0</v>
      </c>
      <c r="T753" s="2">
        <v>3742.0</v>
      </c>
      <c r="U753" s="2">
        <v>3040.0</v>
      </c>
      <c r="V753" s="2">
        <v>0.0</v>
      </c>
      <c r="W753" s="2">
        <v>3742.0</v>
      </c>
    </row>
    <row r="754" ht="15.0" customHeight="1">
      <c r="A754" s="2">
        <v>2025.0</v>
      </c>
      <c r="B754" s="2" t="s">
        <v>67</v>
      </c>
      <c r="C754" s="2">
        <v>1.0</v>
      </c>
      <c r="D754" s="2" t="s">
        <v>68</v>
      </c>
      <c r="E754" s="2" t="s">
        <v>61</v>
      </c>
      <c r="F754" s="2" t="s">
        <v>26</v>
      </c>
      <c r="G754" s="2" t="s">
        <v>46</v>
      </c>
      <c r="H754" s="2" t="s">
        <v>47</v>
      </c>
      <c r="I754" s="2" t="s">
        <v>31</v>
      </c>
      <c r="J754" s="2">
        <v>1286.0</v>
      </c>
      <c r="K754" s="2">
        <v>689.0</v>
      </c>
      <c r="L754" s="2">
        <v>211.0</v>
      </c>
      <c r="M754" s="2">
        <v>159.0</v>
      </c>
      <c r="N754" s="2">
        <v>153.0</v>
      </c>
      <c r="O754" s="2">
        <v>340.0</v>
      </c>
      <c r="P754" s="2">
        <v>199.0</v>
      </c>
      <c r="Q754" s="2">
        <v>47.0</v>
      </c>
      <c r="R754" s="2">
        <v>8212.0</v>
      </c>
      <c r="S754" s="2">
        <v>600.0</v>
      </c>
      <c r="T754" s="2">
        <v>7612.0</v>
      </c>
      <c r="U754" s="2">
        <v>600.0</v>
      </c>
      <c r="V754" s="2">
        <v>0.0</v>
      </c>
      <c r="W754" s="2">
        <v>7612.0</v>
      </c>
    </row>
    <row r="755" ht="15.0" customHeight="1">
      <c r="A755" s="2">
        <v>2025.0</v>
      </c>
      <c r="B755" s="2" t="s">
        <v>67</v>
      </c>
      <c r="C755" s="2">
        <v>1.0</v>
      </c>
      <c r="D755" s="2" t="s">
        <v>68</v>
      </c>
      <c r="E755" s="2" t="s">
        <v>61</v>
      </c>
      <c r="F755" s="2" t="s">
        <v>48</v>
      </c>
      <c r="G755" s="2" t="s">
        <v>27</v>
      </c>
      <c r="H755" s="2" t="s">
        <v>28</v>
      </c>
      <c r="I755" s="2" t="s">
        <v>29</v>
      </c>
      <c r="J755" s="2">
        <v>7014.0</v>
      </c>
      <c r="K755" s="2">
        <v>3626.0</v>
      </c>
      <c r="L755" s="2">
        <v>1344.0</v>
      </c>
      <c r="M755" s="2">
        <v>1301.0</v>
      </c>
      <c r="N755" s="2">
        <v>1036.0</v>
      </c>
      <c r="O755" s="2">
        <v>1980.0</v>
      </c>
      <c r="P755" s="2">
        <v>1078.0</v>
      </c>
      <c r="Q755" s="2">
        <v>0.0</v>
      </c>
      <c r="R755" s="2">
        <v>33246.0</v>
      </c>
      <c r="S755" s="2">
        <v>24783.0</v>
      </c>
      <c r="T755" s="2">
        <v>8463.0</v>
      </c>
      <c r="U755" s="2">
        <v>24783.0</v>
      </c>
      <c r="V755" s="2">
        <v>0.0</v>
      </c>
      <c r="W755" s="2">
        <v>8463.0</v>
      </c>
    </row>
    <row r="756" ht="15.0" customHeight="1">
      <c r="A756" s="2">
        <v>2025.0</v>
      </c>
      <c r="B756" s="2" t="s">
        <v>67</v>
      </c>
      <c r="C756" s="2">
        <v>1.0</v>
      </c>
      <c r="D756" s="2" t="s">
        <v>68</v>
      </c>
      <c r="E756" s="2" t="s">
        <v>61</v>
      </c>
      <c r="F756" s="2" t="s">
        <v>48</v>
      </c>
      <c r="G756" s="2" t="s">
        <v>27</v>
      </c>
      <c r="H756" s="2" t="s">
        <v>28</v>
      </c>
      <c r="I756" s="2" t="s">
        <v>30</v>
      </c>
      <c r="J756" s="2">
        <v>2811.0</v>
      </c>
      <c r="K756" s="2">
        <v>923.0</v>
      </c>
      <c r="L756" s="2">
        <v>279.0</v>
      </c>
      <c r="M756" s="2">
        <v>270.0</v>
      </c>
      <c r="N756" s="2">
        <v>226.0</v>
      </c>
      <c r="O756" s="2">
        <v>428.0</v>
      </c>
      <c r="P756" s="2">
        <v>224.0</v>
      </c>
      <c r="Q756" s="2">
        <v>0.0</v>
      </c>
      <c r="R756" s="2">
        <v>6853.0</v>
      </c>
      <c r="S756" s="2">
        <v>3977.0</v>
      </c>
      <c r="T756" s="2">
        <v>2876.0</v>
      </c>
      <c r="U756" s="2">
        <v>3977.0</v>
      </c>
      <c r="V756" s="2">
        <v>0.0</v>
      </c>
      <c r="W756" s="2">
        <v>2876.0</v>
      </c>
    </row>
    <row r="757" ht="15.0" customHeight="1">
      <c r="A757" s="2">
        <v>2025.0</v>
      </c>
      <c r="B757" s="2" t="s">
        <v>67</v>
      </c>
      <c r="C757" s="2">
        <v>1.0</v>
      </c>
      <c r="D757" s="2" t="s">
        <v>68</v>
      </c>
      <c r="E757" s="2" t="s">
        <v>61</v>
      </c>
      <c r="F757" s="2" t="s">
        <v>48</v>
      </c>
      <c r="G757" s="2" t="s">
        <v>27</v>
      </c>
      <c r="H757" s="2" t="s">
        <v>28</v>
      </c>
      <c r="I757" s="2" t="s">
        <v>31</v>
      </c>
      <c r="J757" s="2">
        <v>138.0</v>
      </c>
      <c r="K757" s="2">
        <v>104.0</v>
      </c>
      <c r="L757" s="2">
        <v>120.0</v>
      </c>
      <c r="M757" s="2">
        <v>106.0</v>
      </c>
      <c r="N757" s="2">
        <v>82.0</v>
      </c>
      <c r="O757" s="2">
        <v>190.0</v>
      </c>
      <c r="P757" s="2">
        <v>89.0</v>
      </c>
      <c r="Q757" s="2">
        <v>0.0</v>
      </c>
      <c r="R757" s="2">
        <v>2708.0</v>
      </c>
      <c r="S757" s="2">
        <v>670.0</v>
      </c>
      <c r="T757" s="2">
        <v>2038.0</v>
      </c>
      <c r="U757" s="2">
        <v>670.0</v>
      </c>
      <c r="V757" s="2">
        <v>0.0</v>
      </c>
      <c r="W757" s="2">
        <v>2038.0</v>
      </c>
    </row>
    <row r="758" ht="15.0" customHeight="1">
      <c r="A758" s="2">
        <v>2025.0</v>
      </c>
      <c r="B758" s="2" t="s">
        <v>67</v>
      </c>
      <c r="C758" s="2">
        <v>1.0</v>
      </c>
      <c r="D758" s="2" t="s">
        <v>68</v>
      </c>
      <c r="E758" s="2" t="s">
        <v>61</v>
      </c>
      <c r="F758" s="2" t="s">
        <v>48</v>
      </c>
      <c r="G758" s="2" t="s">
        <v>32</v>
      </c>
      <c r="H758" s="2" t="s">
        <v>28</v>
      </c>
      <c r="I758" s="2" t="s">
        <v>29</v>
      </c>
      <c r="J758" s="2">
        <v>278.0</v>
      </c>
      <c r="K758" s="2">
        <v>119.0</v>
      </c>
      <c r="L758" s="2">
        <v>49.0</v>
      </c>
      <c r="M758" s="2">
        <v>46.0</v>
      </c>
      <c r="N758" s="2">
        <v>28.0</v>
      </c>
      <c r="O758" s="2">
        <v>44.0</v>
      </c>
      <c r="P758" s="2">
        <v>40.0</v>
      </c>
      <c r="Q758" s="2">
        <v>0.0</v>
      </c>
      <c r="R758" s="2">
        <v>621.0</v>
      </c>
      <c r="S758" s="2">
        <v>279.0</v>
      </c>
      <c r="T758" s="2">
        <v>342.0</v>
      </c>
      <c r="U758" s="2">
        <v>279.0</v>
      </c>
      <c r="V758" s="2">
        <v>0.0</v>
      </c>
      <c r="W758" s="2">
        <v>342.0</v>
      </c>
    </row>
    <row r="759" ht="15.0" customHeight="1">
      <c r="A759" s="2">
        <v>2025.0</v>
      </c>
      <c r="B759" s="2" t="s">
        <v>67</v>
      </c>
      <c r="C759" s="2">
        <v>1.0</v>
      </c>
      <c r="D759" s="2" t="s">
        <v>68</v>
      </c>
      <c r="E759" s="2" t="s">
        <v>61</v>
      </c>
      <c r="F759" s="2" t="s">
        <v>48</v>
      </c>
      <c r="G759" s="2" t="s">
        <v>32</v>
      </c>
      <c r="H759" s="2" t="s">
        <v>28</v>
      </c>
      <c r="I759" s="2" t="s">
        <v>30</v>
      </c>
      <c r="J759" s="2">
        <v>165.0</v>
      </c>
      <c r="K759" s="2">
        <v>67.0</v>
      </c>
      <c r="L759" s="2">
        <v>32.0</v>
      </c>
      <c r="M759" s="2">
        <v>27.0</v>
      </c>
      <c r="N759" s="2">
        <v>12.0</v>
      </c>
      <c r="O759" s="2">
        <v>17.0</v>
      </c>
      <c r="P759" s="2">
        <v>15.0</v>
      </c>
      <c r="Q759" s="2">
        <v>0.0</v>
      </c>
      <c r="R759" s="2">
        <v>176.0</v>
      </c>
      <c r="S759" s="2">
        <v>56.0</v>
      </c>
      <c r="T759" s="2">
        <v>120.0</v>
      </c>
      <c r="U759" s="2">
        <v>56.0</v>
      </c>
      <c r="V759" s="2">
        <v>0.0</v>
      </c>
      <c r="W759" s="2">
        <v>120.0</v>
      </c>
    </row>
    <row r="760" ht="15.0" customHeight="1">
      <c r="A760" s="2">
        <v>2025.0</v>
      </c>
      <c r="B760" s="2" t="s">
        <v>67</v>
      </c>
      <c r="C760" s="2">
        <v>1.0</v>
      </c>
      <c r="D760" s="2" t="s">
        <v>68</v>
      </c>
      <c r="E760" s="2" t="s">
        <v>61</v>
      </c>
      <c r="F760" s="2" t="s">
        <v>48</v>
      </c>
      <c r="G760" s="2" t="s">
        <v>32</v>
      </c>
      <c r="H760" s="2" t="s">
        <v>28</v>
      </c>
      <c r="I760" s="2" t="s">
        <v>31</v>
      </c>
      <c r="J760" s="2">
        <v>901.0</v>
      </c>
      <c r="K760" s="2">
        <v>356.0</v>
      </c>
      <c r="L760" s="2">
        <v>217.0</v>
      </c>
      <c r="M760" s="2">
        <v>171.0</v>
      </c>
      <c r="N760" s="2">
        <v>68.0</v>
      </c>
      <c r="O760" s="2">
        <v>93.0</v>
      </c>
      <c r="P760" s="2">
        <v>75.0</v>
      </c>
      <c r="Q760" s="2">
        <v>0.0</v>
      </c>
      <c r="R760" s="2">
        <v>1149.0</v>
      </c>
      <c r="S760" s="2">
        <v>0.0</v>
      </c>
      <c r="T760" s="2">
        <v>1149.0</v>
      </c>
      <c r="U760" s="2">
        <v>0.0</v>
      </c>
      <c r="V760" s="2">
        <v>0.0</v>
      </c>
      <c r="W760" s="2">
        <v>1149.0</v>
      </c>
    </row>
    <row r="761" ht="15.0" customHeight="1">
      <c r="A761" s="2">
        <v>2025.0</v>
      </c>
      <c r="B761" s="2" t="s">
        <v>67</v>
      </c>
      <c r="C761" s="2">
        <v>1.0</v>
      </c>
      <c r="D761" s="2" t="s">
        <v>68</v>
      </c>
      <c r="E761" s="2" t="s">
        <v>61</v>
      </c>
      <c r="F761" s="2" t="s">
        <v>48</v>
      </c>
      <c r="G761" s="2" t="s">
        <v>33</v>
      </c>
      <c r="H761" s="2" t="s">
        <v>28</v>
      </c>
      <c r="I761" s="2" t="s">
        <v>29</v>
      </c>
      <c r="J761" s="2">
        <v>1251.0</v>
      </c>
      <c r="K761" s="2">
        <v>728.0</v>
      </c>
      <c r="L761" s="2">
        <v>309.0</v>
      </c>
      <c r="M761" s="2">
        <v>298.0</v>
      </c>
      <c r="N761" s="2">
        <v>165.0</v>
      </c>
      <c r="O761" s="2">
        <v>186.0</v>
      </c>
      <c r="P761" s="2">
        <v>167.0</v>
      </c>
      <c r="Q761" s="2">
        <v>149.0</v>
      </c>
      <c r="R761" s="2">
        <v>4461.0</v>
      </c>
      <c r="S761" s="2">
        <v>4080.0</v>
      </c>
      <c r="T761" s="2">
        <v>381.0</v>
      </c>
      <c r="U761" s="2">
        <v>4080.0</v>
      </c>
      <c r="V761" s="2">
        <v>0.0</v>
      </c>
      <c r="W761" s="2">
        <v>381.0</v>
      </c>
    </row>
    <row r="762" ht="15.0" customHeight="1">
      <c r="A762" s="2">
        <v>2025.0</v>
      </c>
      <c r="B762" s="2" t="s">
        <v>67</v>
      </c>
      <c r="C762" s="2">
        <v>1.0</v>
      </c>
      <c r="D762" s="2" t="s">
        <v>68</v>
      </c>
      <c r="E762" s="2" t="s">
        <v>61</v>
      </c>
      <c r="F762" s="2" t="s">
        <v>48</v>
      </c>
      <c r="G762" s="2" t="s">
        <v>33</v>
      </c>
      <c r="H762" s="2" t="s">
        <v>28</v>
      </c>
      <c r="I762" s="2" t="s">
        <v>30</v>
      </c>
      <c r="J762" s="2">
        <v>686.0</v>
      </c>
      <c r="K762" s="2">
        <v>278.0</v>
      </c>
      <c r="L762" s="2">
        <v>146.0</v>
      </c>
      <c r="M762" s="2">
        <v>139.0</v>
      </c>
      <c r="N762" s="2">
        <v>30.0</v>
      </c>
      <c r="O762" s="2">
        <v>34.0</v>
      </c>
      <c r="P762" s="2">
        <v>28.0</v>
      </c>
      <c r="Q762" s="2">
        <v>26.0</v>
      </c>
      <c r="R762" s="2">
        <v>652.0</v>
      </c>
      <c r="S762" s="2">
        <v>1234.0</v>
      </c>
      <c r="T762" s="2">
        <v>-582.0</v>
      </c>
      <c r="U762" s="2">
        <v>1234.0</v>
      </c>
      <c r="V762" s="2">
        <v>0.0</v>
      </c>
      <c r="W762" s="2">
        <v>-582.0</v>
      </c>
    </row>
    <row r="763" ht="15.0" customHeight="1">
      <c r="A763" s="2">
        <v>2025.0</v>
      </c>
      <c r="B763" s="2" t="s">
        <v>67</v>
      </c>
      <c r="C763" s="2">
        <v>1.0</v>
      </c>
      <c r="D763" s="2" t="s">
        <v>68</v>
      </c>
      <c r="E763" s="2" t="s">
        <v>61</v>
      </c>
      <c r="F763" s="2" t="s">
        <v>48</v>
      </c>
      <c r="G763" s="2" t="s">
        <v>33</v>
      </c>
      <c r="H763" s="2" t="s">
        <v>28</v>
      </c>
      <c r="I763" s="2" t="s">
        <v>31</v>
      </c>
      <c r="J763" s="2">
        <v>120.0</v>
      </c>
      <c r="K763" s="2">
        <v>52.0</v>
      </c>
      <c r="L763" s="2">
        <v>22.0</v>
      </c>
      <c r="M763" s="2">
        <v>17.0</v>
      </c>
      <c r="N763" s="2">
        <v>5.0</v>
      </c>
      <c r="O763" s="2">
        <v>6.0</v>
      </c>
      <c r="P763" s="2">
        <v>5.0</v>
      </c>
      <c r="Q763" s="2">
        <v>5.0</v>
      </c>
      <c r="R763" s="2">
        <v>111.0</v>
      </c>
      <c r="S763" s="2">
        <v>0.0</v>
      </c>
      <c r="T763" s="2">
        <v>111.0</v>
      </c>
      <c r="U763" s="2">
        <v>0.0</v>
      </c>
      <c r="V763" s="2">
        <v>0.0</v>
      </c>
      <c r="W763" s="2">
        <v>111.0</v>
      </c>
    </row>
    <row r="764" ht="15.0" customHeight="1">
      <c r="A764" s="2">
        <v>2025.0</v>
      </c>
      <c r="B764" s="2" t="s">
        <v>67</v>
      </c>
      <c r="C764" s="2">
        <v>1.0</v>
      </c>
      <c r="D764" s="2" t="s">
        <v>68</v>
      </c>
      <c r="E764" s="2" t="s">
        <v>61</v>
      </c>
      <c r="F764" s="2" t="s">
        <v>48</v>
      </c>
      <c r="G764" s="2" t="s">
        <v>34</v>
      </c>
      <c r="H764" s="2" t="s">
        <v>35</v>
      </c>
      <c r="I764" s="2" t="s">
        <v>29</v>
      </c>
      <c r="J764" s="2">
        <v>43902.0</v>
      </c>
      <c r="K764" s="2">
        <v>28903.0</v>
      </c>
      <c r="L764" s="2">
        <v>12842.0</v>
      </c>
      <c r="M764" s="2">
        <v>12320.0</v>
      </c>
      <c r="N764" s="2">
        <v>5128.0</v>
      </c>
      <c r="O764" s="2">
        <v>6857.0</v>
      </c>
      <c r="P764" s="2">
        <v>5330.0</v>
      </c>
      <c r="Q764" s="2">
        <v>0.0</v>
      </c>
      <c r="R764" s="2">
        <v>82522.0</v>
      </c>
      <c r="S764" s="2">
        <v>56266.0</v>
      </c>
      <c r="T764" s="2">
        <v>26256.0</v>
      </c>
      <c r="U764" s="2">
        <v>56266.0</v>
      </c>
      <c r="V764" s="2">
        <v>0.0</v>
      </c>
      <c r="W764" s="2">
        <v>26256.0</v>
      </c>
    </row>
    <row r="765" ht="15.0" customHeight="1">
      <c r="A765" s="2">
        <v>2025.0</v>
      </c>
      <c r="B765" s="2" t="s">
        <v>67</v>
      </c>
      <c r="C765" s="2">
        <v>1.0</v>
      </c>
      <c r="D765" s="2" t="s">
        <v>68</v>
      </c>
      <c r="E765" s="2" t="s">
        <v>61</v>
      </c>
      <c r="F765" s="2" t="s">
        <v>48</v>
      </c>
      <c r="G765" s="2" t="s">
        <v>34</v>
      </c>
      <c r="H765" s="2" t="s">
        <v>35</v>
      </c>
      <c r="I765" s="2" t="s">
        <v>30</v>
      </c>
      <c r="J765" s="2">
        <v>17239.0</v>
      </c>
      <c r="K765" s="2">
        <v>9558.0</v>
      </c>
      <c r="L765" s="2">
        <v>3604.0</v>
      </c>
      <c r="M765" s="2">
        <v>3399.0</v>
      </c>
      <c r="N765" s="2">
        <v>1259.0</v>
      </c>
      <c r="O765" s="2">
        <v>1639.0</v>
      </c>
      <c r="P765" s="2">
        <v>1251.0</v>
      </c>
      <c r="Q765" s="2">
        <v>0.0</v>
      </c>
      <c r="R765" s="2">
        <v>19604.0</v>
      </c>
      <c r="S765" s="2">
        <v>13397.0</v>
      </c>
      <c r="T765" s="2">
        <v>6206.0</v>
      </c>
      <c r="U765" s="2">
        <v>13397.0</v>
      </c>
      <c r="V765" s="2">
        <v>0.0</v>
      </c>
      <c r="W765" s="2">
        <v>6206.0</v>
      </c>
    </row>
    <row r="766" ht="15.0" customHeight="1">
      <c r="A766" s="2">
        <v>2025.0</v>
      </c>
      <c r="B766" s="2" t="s">
        <v>67</v>
      </c>
      <c r="C766" s="2">
        <v>1.0</v>
      </c>
      <c r="D766" s="2" t="s">
        <v>68</v>
      </c>
      <c r="E766" s="2" t="s">
        <v>61</v>
      </c>
      <c r="F766" s="2" t="s">
        <v>48</v>
      </c>
      <c r="G766" s="2" t="s">
        <v>34</v>
      </c>
      <c r="H766" s="2" t="s">
        <v>35</v>
      </c>
      <c r="I766" s="2" t="s">
        <v>31</v>
      </c>
      <c r="J766" s="2">
        <v>1183.0</v>
      </c>
      <c r="K766" s="2">
        <v>674.0</v>
      </c>
      <c r="L766" s="2">
        <v>471.0</v>
      </c>
      <c r="M766" s="2">
        <v>400.0</v>
      </c>
      <c r="N766" s="2">
        <v>161.0</v>
      </c>
      <c r="O766" s="2">
        <v>231.0</v>
      </c>
      <c r="P766" s="2">
        <v>184.0</v>
      </c>
      <c r="Q766" s="2">
        <v>0.0</v>
      </c>
      <c r="R766" s="2">
        <v>2991.0</v>
      </c>
      <c r="S766" s="2">
        <v>24.0</v>
      </c>
      <c r="T766" s="2">
        <v>2967.0</v>
      </c>
      <c r="U766" s="2">
        <v>24.0</v>
      </c>
      <c r="V766" s="2">
        <v>0.0</v>
      </c>
      <c r="W766" s="2">
        <v>2967.0</v>
      </c>
    </row>
    <row r="767" ht="15.0" customHeight="1">
      <c r="A767" s="2">
        <v>2025.0</v>
      </c>
      <c r="B767" s="2" t="s">
        <v>67</v>
      </c>
      <c r="C767" s="2">
        <v>1.0</v>
      </c>
      <c r="D767" s="2" t="s">
        <v>68</v>
      </c>
      <c r="E767" s="2" t="s">
        <v>61</v>
      </c>
      <c r="F767" s="2" t="s">
        <v>48</v>
      </c>
      <c r="G767" s="2" t="s">
        <v>36</v>
      </c>
      <c r="H767" s="2" t="s">
        <v>35</v>
      </c>
      <c r="I767" s="2" t="s">
        <v>29</v>
      </c>
      <c r="J767" s="2">
        <v>17722.0</v>
      </c>
      <c r="K767" s="2">
        <v>10554.0</v>
      </c>
      <c r="L767" s="2">
        <v>4923.0</v>
      </c>
      <c r="M767" s="2">
        <v>4731.0</v>
      </c>
      <c r="N767" s="2">
        <v>3685.0</v>
      </c>
      <c r="O767" s="2">
        <v>6989.0</v>
      </c>
      <c r="P767" s="2">
        <v>6065.0</v>
      </c>
      <c r="Q767" s="2">
        <v>0.0</v>
      </c>
      <c r="R767" s="2">
        <v>76484.0</v>
      </c>
      <c r="S767" s="2">
        <v>57572.0</v>
      </c>
      <c r="T767" s="2">
        <v>18912.0</v>
      </c>
      <c r="U767" s="2">
        <v>57137.0</v>
      </c>
      <c r="V767" s="2">
        <v>435.0</v>
      </c>
      <c r="W767" s="2">
        <v>19347.0</v>
      </c>
    </row>
    <row r="768" ht="15.0" customHeight="1">
      <c r="A768" s="2">
        <v>2025.0</v>
      </c>
      <c r="B768" s="2" t="s">
        <v>67</v>
      </c>
      <c r="C768" s="2">
        <v>1.0</v>
      </c>
      <c r="D768" s="2" t="s">
        <v>68</v>
      </c>
      <c r="E768" s="2" t="s">
        <v>61</v>
      </c>
      <c r="F768" s="2" t="s">
        <v>48</v>
      </c>
      <c r="G768" s="2" t="s">
        <v>36</v>
      </c>
      <c r="H768" s="2" t="s">
        <v>35</v>
      </c>
      <c r="I768" s="2" t="s">
        <v>30</v>
      </c>
      <c r="J768" s="2">
        <v>4298.0</v>
      </c>
      <c r="K768" s="2">
        <v>1874.0</v>
      </c>
      <c r="L768" s="2">
        <v>893.0</v>
      </c>
      <c r="M768" s="2">
        <v>855.0</v>
      </c>
      <c r="N768" s="2">
        <v>634.0</v>
      </c>
      <c r="O768" s="2">
        <v>1232.0</v>
      </c>
      <c r="P768" s="2">
        <v>1076.0</v>
      </c>
      <c r="Q768" s="2">
        <v>0.0</v>
      </c>
      <c r="R768" s="2">
        <v>13265.0</v>
      </c>
      <c r="S768" s="2">
        <v>9691.0</v>
      </c>
      <c r="T768" s="2">
        <v>3574.0</v>
      </c>
      <c r="U768" s="2">
        <v>9691.0</v>
      </c>
      <c r="V768" s="2">
        <v>0.0</v>
      </c>
      <c r="W768" s="2">
        <v>3574.0</v>
      </c>
    </row>
    <row r="769" ht="15.0" customHeight="1">
      <c r="A769" s="2">
        <v>2025.0</v>
      </c>
      <c r="B769" s="2" t="s">
        <v>67</v>
      </c>
      <c r="C769" s="2">
        <v>1.0</v>
      </c>
      <c r="D769" s="2" t="s">
        <v>68</v>
      </c>
      <c r="E769" s="2" t="s">
        <v>61</v>
      </c>
      <c r="F769" s="2" t="s">
        <v>48</v>
      </c>
      <c r="G769" s="2" t="s">
        <v>36</v>
      </c>
      <c r="H769" s="2" t="s">
        <v>35</v>
      </c>
      <c r="I769" s="2" t="s">
        <v>31</v>
      </c>
      <c r="J769" s="2">
        <v>1111.0</v>
      </c>
      <c r="K769" s="2">
        <v>741.0</v>
      </c>
      <c r="L769" s="2">
        <v>487.0</v>
      </c>
      <c r="M769" s="2">
        <v>449.0</v>
      </c>
      <c r="N769" s="2">
        <v>333.0</v>
      </c>
      <c r="O769" s="2">
        <v>603.0</v>
      </c>
      <c r="P769" s="2">
        <v>523.0</v>
      </c>
      <c r="Q769" s="2">
        <v>0.0</v>
      </c>
      <c r="R769" s="2">
        <v>6633.0</v>
      </c>
      <c r="S769" s="2">
        <v>32.0</v>
      </c>
      <c r="T769" s="2">
        <v>6601.0</v>
      </c>
      <c r="U769" s="2">
        <v>32.0</v>
      </c>
      <c r="V769" s="2">
        <v>0.0</v>
      </c>
      <c r="W769" s="2">
        <v>6601.0</v>
      </c>
    </row>
    <row r="770" ht="15.0" customHeight="1">
      <c r="A770" s="2">
        <v>2025.0</v>
      </c>
      <c r="B770" s="2" t="s">
        <v>67</v>
      </c>
      <c r="C770" s="2">
        <v>1.0</v>
      </c>
      <c r="D770" s="2" t="s">
        <v>68</v>
      </c>
      <c r="E770" s="2" t="s">
        <v>61</v>
      </c>
      <c r="F770" s="2" t="s">
        <v>48</v>
      </c>
      <c r="G770" s="2" t="s">
        <v>37</v>
      </c>
      <c r="H770" s="2" t="s">
        <v>35</v>
      </c>
      <c r="I770" s="2" t="s">
        <v>29</v>
      </c>
      <c r="J770" s="2">
        <v>4730.0</v>
      </c>
      <c r="K770" s="2">
        <v>2432.0</v>
      </c>
      <c r="L770" s="2">
        <v>960.0</v>
      </c>
      <c r="M770" s="2">
        <v>927.0</v>
      </c>
      <c r="N770" s="2">
        <v>716.0</v>
      </c>
      <c r="O770" s="2">
        <v>1708.0</v>
      </c>
      <c r="P770" s="2">
        <v>1286.0</v>
      </c>
      <c r="Q770" s="2">
        <v>44.0</v>
      </c>
      <c r="R770" s="2">
        <v>33929.0</v>
      </c>
      <c r="S770" s="2">
        <v>21857.0</v>
      </c>
      <c r="T770" s="2">
        <v>12072.0</v>
      </c>
      <c r="U770" s="2">
        <v>21857.0</v>
      </c>
      <c r="V770" s="2">
        <v>0.0</v>
      </c>
      <c r="W770" s="2">
        <v>12072.0</v>
      </c>
    </row>
    <row r="771" ht="15.0" customHeight="1">
      <c r="A771" s="2">
        <v>2025.0</v>
      </c>
      <c r="B771" s="2" t="s">
        <v>67</v>
      </c>
      <c r="C771" s="2">
        <v>1.0</v>
      </c>
      <c r="D771" s="2" t="s">
        <v>68</v>
      </c>
      <c r="E771" s="2" t="s">
        <v>61</v>
      </c>
      <c r="F771" s="2" t="s">
        <v>48</v>
      </c>
      <c r="G771" s="2" t="s">
        <v>37</v>
      </c>
      <c r="H771" s="2" t="s">
        <v>35</v>
      </c>
      <c r="I771" s="2" t="s">
        <v>30</v>
      </c>
      <c r="J771" s="2">
        <v>2489.0</v>
      </c>
      <c r="K771" s="2">
        <v>885.0</v>
      </c>
      <c r="L771" s="2">
        <v>312.0</v>
      </c>
      <c r="M771" s="2">
        <v>303.0</v>
      </c>
      <c r="N771" s="2">
        <v>219.0</v>
      </c>
      <c r="O771" s="2">
        <v>510.0</v>
      </c>
      <c r="P771" s="2">
        <v>381.0</v>
      </c>
      <c r="Q771" s="2">
        <v>12.0</v>
      </c>
      <c r="R771" s="2">
        <v>10088.0</v>
      </c>
      <c r="S771" s="2">
        <v>6442.0</v>
      </c>
      <c r="T771" s="2">
        <v>3647.0</v>
      </c>
      <c r="U771" s="2">
        <v>6442.0</v>
      </c>
      <c r="V771" s="2">
        <v>0.0</v>
      </c>
      <c r="W771" s="2">
        <v>3647.0</v>
      </c>
    </row>
    <row r="772" ht="15.0" customHeight="1">
      <c r="A772" s="2">
        <v>2025.0</v>
      </c>
      <c r="B772" s="2" t="s">
        <v>67</v>
      </c>
      <c r="C772" s="2">
        <v>1.0</v>
      </c>
      <c r="D772" s="2" t="s">
        <v>68</v>
      </c>
      <c r="E772" s="2" t="s">
        <v>61</v>
      </c>
      <c r="F772" s="2" t="s">
        <v>48</v>
      </c>
      <c r="G772" s="2" t="s">
        <v>37</v>
      </c>
      <c r="H772" s="2" t="s">
        <v>35</v>
      </c>
      <c r="I772" s="2" t="s">
        <v>31</v>
      </c>
      <c r="J772" s="2">
        <v>106.0</v>
      </c>
      <c r="K772" s="2">
        <v>84.0</v>
      </c>
      <c r="L772" s="2">
        <v>45.0</v>
      </c>
      <c r="M772" s="2">
        <v>36.0</v>
      </c>
      <c r="N772" s="2">
        <v>32.0</v>
      </c>
      <c r="O772" s="2">
        <v>74.0</v>
      </c>
      <c r="P772" s="2">
        <v>50.0</v>
      </c>
      <c r="Q772" s="2">
        <v>2.0</v>
      </c>
      <c r="R772" s="2">
        <v>1355.0</v>
      </c>
      <c r="S772" s="2">
        <v>0.0</v>
      </c>
      <c r="T772" s="2">
        <v>1354.0</v>
      </c>
      <c r="U772" s="2">
        <v>0.0</v>
      </c>
      <c r="V772" s="2">
        <v>0.0</v>
      </c>
      <c r="W772" s="2">
        <v>1354.0</v>
      </c>
    </row>
    <row r="773" ht="15.0" customHeight="1">
      <c r="A773" s="2">
        <v>2025.0</v>
      </c>
      <c r="B773" s="2" t="s">
        <v>67</v>
      </c>
      <c r="C773" s="2">
        <v>1.0</v>
      </c>
      <c r="D773" s="2" t="s">
        <v>68</v>
      </c>
      <c r="E773" s="2" t="s">
        <v>61</v>
      </c>
      <c r="F773" s="2" t="s">
        <v>48</v>
      </c>
      <c r="G773" s="2" t="s">
        <v>38</v>
      </c>
      <c r="H773" s="2" t="s">
        <v>35</v>
      </c>
      <c r="I773" s="2" t="s">
        <v>29</v>
      </c>
      <c r="J773" s="2">
        <v>5923.0</v>
      </c>
      <c r="K773" s="2">
        <v>3382.0</v>
      </c>
      <c r="L773" s="2">
        <v>1669.0</v>
      </c>
      <c r="M773" s="2">
        <v>1611.0</v>
      </c>
      <c r="N773" s="2">
        <v>898.0</v>
      </c>
      <c r="O773" s="2">
        <v>1281.0</v>
      </c>
      <c r="P773" s="2">
        <v>987.0</v>
      </c>
      <c r="Q773" s="2">
        <v>238.0</v>
      </c>
      <c r="R773" s="2">
        <v>18506.0</v>
      </c>
      <c r="S773" s="2">
        <v>10708.0</v>
      </c>
      <c r="T773" s="2">
        <v>7799.0</v>
      </c>
      <c r="U773" s="2">
        <v>10666.0</v>
      </c>
      <c r="V773" s="2">
        <v>42.0</v>
      </c>
      <c r="W773" s="2">
        <v>7841.0</v>
      </c>
    </row>
    <row r="774" ht="15.0" customHeight="1">
      <c r="A774" s="2">
        <v>2025.0</v>
      </c>
      <c r="B774" s="2" t="s">
        <v>67</v>
      </c>
      <c r="C774" s="2">
        <v>1.0</v>
      </c>
      <c r="D774" s="2" t="s">
        <v>68</v>
      </c>
      <c r="E774" s="2" t="s">
        <v>61</v>
      </c>
      <c r="F774" s="2" t="s">
        <v>48</v>
      </c>
      <c r="G774" s="2" t="s">
        <v>38</v>
      </c>
      <c r="H774" s="2" t="s">
        <v>35</v>
      </c>
      <c r="I774" s="2" t="s">
        <v>30</v>
      </c>
      <c r="J774" s="2">
        <v>7942.0</v>
      </c>
      <c r="K774" s="2">
        <v>3363.0</v>
      </c>
      <c r="L774" s="2">
        <v>2388.0</v>
      </c>
      <c r="M774" s="2">
        <v>2309.0</v>
      </c>
      <c r="N774" s="2">
        <v>1267.0</v>
      </c>
      <c r="O774" s="2">
        <v>1761.0</v>
      </c>
      <c r="P774" s="2">
        <v>1331.0</v>
      </c>
      <c r="Q774" s="2">
        <v>346.0</v>
      </c>
      <c r="R774" s="2">
        <v>25036.0</v>
      </c>
      <c r="S774" s="2">
        <v>12959.0</v>
      </c>
      <c r="T774" s="2">
        <v>12077.0</v>
      </c>
      <c r="U774" s="2">
        <v>12959.0</v>
      </c>
      <c r="V774" s="2">
        <v>0.0</v>
      </c>
      <c r="W774" s="2">
        <v>12077.0</v>
      </c>
    </row>
    <row r="775" ht="15.0" customHeight="1">
      <c r="A775" s="2">
        <v>2025.0</v>
      </c>
      <c r="B775" s="2" t="s">
        <v>67</v>
      </c>
      <c r="C775" s="2">
        <v>1.0</v>
      </c>
      <c r="D775" s="2" t="s">
        <v>68</v>
      </c>
      <c r="E775" s="2" t="s">
        <v>61</v>
      </c>
      <c r="F775" s="2" t="s">
        <v>48</v>
      </c>
      <c r="G775" s="2" t="s">
        <v>38</v>
      </c>
      <c r="H775" s="2" t="s">
        <v>35</v>
      </c>
      <c r="I775" s="2" t="s">
        <v>31</v>
      </c>
      <c r="J775" s="2">
        <v>1179.0</v>
      </c>
      <c r="K775" s="2">
        <v>601.0</v>
      </c>
      <c r="L775" s="2">
        <v>466.0</v>
      </c>
      <c r="M775" s="2">
        <v>441.0</v>
      </c>
      <c r="N775" s="2">
        <v>239.0</v>
      </c>
      <c r="O775" s="2">
        <v>349.0</v>
      </c>
      <c r="P775" s="2">
        <v>282.0</v>
      </c>
      <c r="Q775" s="2">
        <v>74.0</v>
      </c>
      <c r="R775" s="2">
        <v>5300.0</v>
      </c>
      <c r="S775" s="2">
        <v>39.0</v>
      </c>
      <c r="T775" s="2">
        <v>5261.0</v>
      </c>
      <c r="U775" s="2">
        <v>39.0</v>
      </c>
      <c r="V775" s="2">
        <v>0.0</v>
      </c>
      <c r="W775" s="2">
        <v>5261.0</v>
      </c>
    </row>
    <row r="776" ht="15.0" customHeight="1">
      <c r="A776" s="2">
        <v>2025.0</v>
      </c>
      <c r="B776" s="2" t="s">
        <v>67</v>
      </c>
      <c r="C776" s="2">
        <v>1.0</v>
      </c>
      <c r="D776" s="2" t="s">
        <v>68</v>
      </c>
      <c r="E776" s="2" t="s">
        <v>61</v>
      </c>
      <c r="F776" s="2" t="s">
        <v>48</v>
      </c>
      <c r="G776" s="2" t="s">
        <v>39</v>
      </c>
      <c r="H776" s="2" t="s">
        <v>40</v>
      </c>
      <c r="I776" s="2" t="s">
        <v>29</v>
      </c>
      <c r="J776" s="2">
        <v>37032.0</v>
      </c>
      <c r="K776" s="2">
        <v>22884.0</v>
      </c>
      <c r="L776" s="2">
        <v>10863.0</v>
      </c>
      <c r="M776" s="2">
        <v>10342.0</v>
      </c>
      <c r="N776" s="2">
        <v>9133.0</v>
      </c>
      <c r="O776" s="2">
        <v>16592.0</v>
      </c>
      <c r="P776" s="2">
        <v>15667.0</v>
      </c>
      <c r="Q776" s="2">
        <v>12737.0</v>
      </c>
      <c r="R776" s="2">
        <v>126989.0</v>
      </c>
      <c r="S776" s="2">
        <v>86884.0</v>
      </c>
      <c r="T776" s="2">
        <v>40105.0</v>
      </c>
      <c r="U776" s="2">
        <v>86884.0</v>
      </c>
      <c r="V776" s="2">
        <v>0.0</v>
      </c>
      <c r="W776" s="2">
        <v>40105.0</v>
      </c>
    </row>
    <row r="777" ht="15.0" customHeight="1">
      <c r="A777" s="2">
        <v>2025.0</v>
      </c>
      <c r="B777" s="2" t="s">
        <v>67</v>
      </c>
      <c r="C777" s="2">
        <v>1.0</v>
      </c>
      <c r="D777" s="2" t="s">
        <v>68</v>
      </c>
      <c r="E777" s="2" t="s">
        <v>61</v>
      </c>
      <c r="F777" s="2" t="s">
        <v>48</v>
      </c>
      <c r="G777" s="2" t="s">
        <v>39</v>
      </c>
      <c r="H777" s="2" t="s">
        <v>40</v>
      </c>
      <c r="I777" s="2" t="s">
        <v>30</v>
      </c>
      <c r="J777" s="2">
        <v>7998.0</v>
      </c>
      <c r="K777" s="2">
        <v>3416.0</v>
      </c>
      <c r="L777" s="2">
        <v>1395.0</v>
      </c>
      <c r="M777" s="2">
        <v>1319.0</v>
      </c>
      <c r="N777" s="2">
        <v>1163.0</v>
      </c>
      <c r="O777" s="2">
        <v>2118.0</v>
      </c>
      <c r="P777" s="2">
        <v>1980.0</v>
      </c>
      <c r="Q777" s="2">
        <v>1540.0</v>
      </c>
      <c r="R777" s="2">
        <v>16279.0</v>
      </c>
      <c r="S777" s="2">
        <v>11758.0</v>
      </c>
      <c r="T777" s="2">
        <v>4521.0</v>
      </c>
      <c r="U777" s="2">
        <v>11758.0</v>
      </c>
      <c r="V777" s="2">
        <v>0.0</v>
      </c>
      <c r="W777" s="2">
        <v>4521.0</v>
      </c>
    </row>
    <row r="778" ht="15.0" customHeight="1">
      <c r="A778" s="2">
        <v>2025.0</v>
      </c>
      <c r="B778" s="2" t="s">
        <v>67</v>
      </c>
      <c r="C778" s="2">
        <v>1.0</v>
      </c>
      <c r="D778" s="2" t="s">
        <v>68</v>
      </c>
      <c r="E778" s="2" t="s">
        <v>61</v>
      </c>
      <c r="F778" s="2" t="s">
        <v>48</v>
      </c>
      <c r="G778" s="2" t="s">
        <v>39</v>
      </c>
      <c r="H778" s="2" t="s">
        <v>40</v>
      </c>
      <c r="I778" s="2" t="s">
        <v>31</v>
      </c>
      <c r="J778" s="2">
        <v>2963.0</v>
      </c>
      <c r="K778" s="2">
        <v>1705.0</v>
      </c>
      <c r="L778" s="2">
        <v>936.0</v>
      </c>
      <c r="M778" s="2">
        <v>826.0</v>
      </c>
      <c r="N778" s="2">
        <v>711.0</v>
      </c>
      <c r="O778" s="2">
        <v>1239.0</v>
      </c>
      <c r="P778" s="2">
        <v>1138.0</v>
      </c>
      <c r="Q778" s="2">
        <v>837.0</v>
      </c>
      <c r="R778" s="2">
        <v>10218.0</v>
      </c>
      <c r="S778" s="2">
        <v>24.0</v>
      </c>
      <c r="T778" s="2">
        <v>10194.0</v>
      </c>
      <c r="U778" s="2">
        <v>24.0</v>
      </c>
      <c r="V778" s="2">
        <v>0.0</v>
      </c>
      <c r="W778" s="2">
        <v>10194.0</v>
      </c>
    </row>
    <row r="779" ht="15.0" customHeight="1">
      <c r="A779" s="2">
        <v>2025.0</v>
      </c>
      <c r="B779" s="2" t="s">
        <v>67</v>
      </c>
      <c r="C779" s="2">
        <v>1.0</v>
      </c>
      <c r="D779" s="2" t="s">
        <v>68</v>
      </c>
      <c r="E779" s="2" t="s">
        <v>61</v>
      </c>
      <c r="F779" s="2" t="s">
        <v>48</v>
      </c>
      <c r="G779" s="2" t="s">
        <v>41</v>
      </c>
      <c r="H779" s="2" t="s">
        <v>42</v>
      </c>
      <c r="I779" s="2" t="s">
        <v>29</v>
      </c>
      <c r="J779" s="2">
        <v>34491.0</v>
      </c>
      <c r="K779" s="2">
        <v>17564.0</v>
      </c>
      <c r="L779" s="2">
        <v>4382.0</v>
      </c>
      <c r="M779" s="2">
        <v>4042.0</v>
      </c>
      <c r="N779" s="2">
        <v>1947.0</v>
      </c>
      <c r="O779" s="2">
        <v>2691.0</v>
      </c>
      <c r="P779" s="2">
        <v>2004.0</v>
      </c>
      <c r="Q779" s="2">
        <v>0.0</v>
      </c>
      <c r="R779" s="2">
        <v>17796.0</v>
      </c>
      <c r="S779" s="2">
        <v>13423.0</v>
      </c>
      <c r="T779" s="2">
        <v>4374.0</v>
      </c>
      <c r="U779" s="2">
        <v>12511.0</v>
      </c>
      <c r="V779" s="2">
        <v>912.0</v>
      </c>
      <c r="W779" s="2">
        <v>5286.0</v>
      </c>
    </row>
    <row r="780" ht="15.0" customHeight="1">
      <c r="A780" s="2">
        <v>2025.0</v>
      </c>
      <c r="B780" s="2" t="s">
        <v>67</v>
      </c>
      <c r="C780" s="2">
        <v>1.0</v>
      </c>
      <c r="D780" s="2" t="s">
        <v>68</v>
      </c>
      <c r="E780" s="2" t="s">
        <v>61</v>
      </c>
      <c r="F780" s="2" t="s">
        <v>48</v>
      </c>
      <c r="G780" s="2" t="s">
        <v>41</v>
      </c>
      <c r="H780" s="2" t="s">
        <v>42</v>
      </c>
      <c r="I780" s="2" t="s">
        <v>30</v>
      </c>
      <c r="J780" s="2">
        <v>5051.0</v>
      </c>
      <c r="K780" s="2">
        <v>2832.0</v>
      </c>
      <c r="L780" s="2">
        <v>1592.0</v>
      </c>
      <c r="M780" s="2">
        <v>1498.0</v>
      </c>
      <c r="N780" s="2">
        <v>753.0</v>
      </c>
      <c r="O780" s="2">
        <v>1058.0</v>
      </c>
      <c r="P780" s="2">
        <v>805.0</v>
      </c>
      <c r="Q780" s="2">
        <v>0.0</v>
      </c>
      <c r="R780" s="2">
        <v>7048.0</v>
      </c>
      <c r="S780" s="2">
        <v>4353.0</v>
      </c>
      <c r="T780" s="2">
        <v>2695.0</v>
      </c>
      <c r="U780" s="2">
        <v>4353.0</v>
      </c>
      <c r="V780" s="2">
        <v>0.0</v>
      </c>
      <c r="W780" s="2">
        <v>2695.0</v>
      </c>
    </row>
    <row r="781" ht="15.0" customHeight="1">
      <c r="A781" s="2">
        <v>2025.0</v>
      </c>
      <c r="B781" s="2" t="s">
        <v>67</v>
      </c>
      <c r="C781" s="2">
        <v>1.0</v>
      </c>
      <c r="D781" s="2" t="s">
        <v>68</v>
      </c>
      <c r="E781" s="2" t="s">
        <v>61</v>
      </c>
      <c r="F781" s="2" t="s">
        <v>48</v>
      </c>
      <c r="G781" s="2" t="s">
        <v>41</v>
      </c>
      <c r="H781" s="2" t="s">
        <v>42</v>
      </c>
      <c r="I781" s="2" t="s">
        <v>31</v>
      </c>
      <c r="J781" s="2">
        <v>9594.0</v>
      </c>
      <c r="K781" s="2">
        <v>6443.0</v>
      </c>
      <c r="L781" s="2">
        <v>5911.0</v>
      </c>
      <c r="M781" s="2">
        <v>5048.0</v>
      </c>
      <c r="N781" s="2">
        <v>1615.0</v>
      </c>
      <c r="O781" s="2">
        <v>2052.0</v>
      </c>
      <c r="P781" s="2">
        <v>1525.0</v>
      </c>
      <c r="Q781" s="2">
        <v>0.0</v>
      </c>
      <c r="R781" s="2">
        <v>15265.0</v>
      </c>
      <c r="S781" s="2">
        <v>45.0</v>
      </c>
      <c r="T781" s="2">
        <v>15219.0</v>
      </c>
      <c r="U781" s="2">
        <v>45.0</v>
      </c>
      <c r="V781" s="2">
        <v>0.0</v>
      </c>
      <c r="W781" s="2">
        <v>15219.0</v>
      </c>
    </row>
    <row r="782" ht="15.0" customHeight="1">
      <c r="A782" s="2">
        <v>2025.0</v>
      </c>
      <c r="B782" s="2" t="s">
        <v>67</v>
      </c>
      <c r="C782" s="2">
        <v>1.0</v>
      </c>
      <c r="D782" s="2" t="s">
        <v>68</v>
      </c>
      <c r="E782" s="2" t="s">
        <v>61</v>
      </c>
      <c r="F782" s="2" t="s">
        <v>48</v>
      </c>
      <c r="G782" s="2" t="s">
        <v>43</v>
      </c>
      <c r="H782" s="2" t="s">
        <v>42</v>
      </c>
      <c r="I782" s="2" t="s">
        <v>29</v>
      </c>
      <c r="J782" s="2">
        <v>28904.0</v>
      </c>
      <c r="K782" s="2">
        <v>12711.0</v>
      </c>
      <c r="L782" s="2">
        <v>3632.0</v>
      </c>
      <c r="M782" s="2">
        <v>3377.0</v>
      </c>
      <c r="N782" s="2">
        <v>1886.0</v>
      </c>
      <c r="O782" s="2">
        <v>3969.0</v>
      </c>
      <c r="P782" s="2">
        <v>3318.0</v>
      </c>
      <c r="Q782" s="2">
        <v>0.0</v>
      </c>
      <c r="R782" s="2">
        <v>102775.0</v>
      </c>
      <c r="S782" s="2">
        <v>73623.0</v>
      </c>
      <c r="T782" s="2">
        <v>29151.0</v>
      </c>
      <c r="U782" s="2">
        <v>70834.0</v>
      </c>
      <c r="V782" s="2">
        <v>2790.0</v>
      </c>
      <c r="W782" s="2">
        <v>31941.0</v>
      </c>
    </row>
    <row r="783" ht="15.0" customHeight="1">
      <c r="A783" s="2">
        <v>2025.0</v>
      </c>
      <c r="B783" s="2" t="s">
        <v>67</v>
      </c>
      <c r="C783" s="2">
        <v>1.0</v>
      </c>
      <c r="D783" s="2" t="s">
        <v>68</v>
      </c>
      <c r="E783" s="2" t="s">
        <v>61</v>
      </c>
      <c r="F783" s="2" t="s">
        <v>48</v>
      </c>
      <c r="G783" s="2" t="s">
        <v>43</v>
      </c>
      <c r="H783" s="2" t="s">
        <v>42</v>
      </c>
      <c r="I783" s="2" t="s">
        <v>30</v>
      </c>
      <c r="J783" s="2">
        <v>6098.0</v>
      </c>
      <c r="K783" s="2">
        <v>2072.0</v>
      </c>
      <c r="L783" s="2">
        <v>590.0</v>
      </c>
      <c r="M783" s="2">
        <v>547.0</v>
      </c>
      <c r="N783" s="2">
        <v>329.0</v>
      </c>
      <c r="O783" s="2">
        <v>927.0</v>
      </c>
      <c r="P783" s="2">
        <v>810.0</v>
      </c>
      <c r="Q783" s="2">
        <v>0.0</v>
      </c>
      <c r="R783" s="2">
        <v>28745.0</v>
      </c>
      <c r="S783" s="2">
        <v>17010.0</v>
      </c>
      <c r="T783" s="2">
        <v>11735.0</v>
      </c>
      <c r="U783" s="2">
        <v>17010.0</v>
      </c>
      <c r="V783" s="2">
        <v>0.0</v>
      </c>
      <c r="W783" s="2">
        <v>11735.0</v>
      </c>
    </row>
    <row r="784" ht="15.0" customHeight="1">
      <c r="A784" s="2">
        <v>2025.0</v>
      </c>
      <c r="B784" s="2" t="s">
        <v>67</v>
      </c>
      <c r="C784" s="2">
        <v>1.0</v>
      </c>
      <c r="D784" s="2" t="s">
        <v>68</v>
      </c>
      <c r="E784" s="2" t="s">
        <v>61</v>
      </c>
      <c r="F784" s="2" t="s">
        <v>48</v>
      </c>
      <c r="G784" s="2" t="s">
        <v>43</v>
      </c>
      <c r="H784" s="2" t="s">
        <v>42</v>
      </c>
      <c r="I784" s="2" t="s">
        <v>31</v>
      </c>
      <c r="J784" s="2">
        <v>753.0</v>
      </c>
      <c r="K784" s="2">
        <v>508.0</v>
      </c>
      <c r="L784" s="2">
        <v>283.0</v>
      </c>
      <c r="M784" s="2">
        <v>236.0</v>
      </c>
      <c r="N784" s="2">
        <v>129.0</v>
      </c>
      <c r="O784" s="2">
        <v>354.0</v>
      </c>
      <c r="P784" s="2">
        <v>302.0</v>
      </c>
      <c r="Q784" s="2">
        <v>0.0</v>
      </c>
      <c r="R784" s="2">
        <v>10005.0</v>
      </c>
      <c r="S784" s="2">
        <v>24.0</v>
      </c>
      <c r="T784" s="2">
        <v>9981.0</v>
      </c>
      <c r="U784" s="2">
        <v>24.0</v>
      </c>
      <c r="V784" s="2">
        <v>0.0</v>
      </c>
      <c r="W784" s="2">
        <v>9981.0</v>
      </c>
    </row>
    <row r="785" ht="15.0" customHeight="1">
      <c r="A785" s="2">
        <v>2025.0</v>
      </c>
      <c r="B785" s="2" t="s">
        <v>67</v>
      </c>
      <c r="C785" s="2">
        <v>1.0</v>
      </c>
      <c r="D785" s="2" t="s">
        <v>68</v>
      </c>
      <c r="E785" s="2" t="s">
        <v>61</v>
      </c>
      <c r="F785" s="2" t="s">
        <v>48</v>
      </c>
      <c r="G785" s="2" t="s">
        <v>44</v>
      </c>
      <c r="H785" s="2" t="s">
        <v>45</v>
      </c>
      <c r="I785" s="2" t="s">
        <v>29</v>
      </c>
      <c r="J785" s="2">
        <v>5058.0</v>
      </c>
      <c r="K785" s="2">
        <v>2699.0</v>
      </c>
      <c r="L785" s="2">
        <v>768.0</v>
      </c>
      <c r="M785" s="2">
        <v>743.0</v>
      </c>
      <c r="N785" s="2">
        <v>583.0</v>
      </c>
      <c r="O785" s="2">
        <v>987.0</v>
      </c>
      <c r="P785" s="2">
        <v>827.0</v>
      </c>
      <c r="Q785" s="2">
        <v>360.0</v>
      </c>
      <c r="R785" s="2">
        <v>21766.0</v>
      </c>
      <c r="S785" s="2">
        <v>22178.0</v>
      </c>
      <c r="T785" s="2">
        <v>-411.0</v>
      </c>
      <c r="U785" s="2">
        <v>22178.0</v>
      </c>
      <c r="V785" s="2">
        <v>0.0</v>
      </c>
      <c r="W785" s="2">
        <v>-411.0</v>
      </c>
    </row>
    <row r="786" ht="15.0" customHeight="1">
      <c r="A786" s="2">
        <v>2025.0</v>
      </c>
      <c r="B786" s="2" t="s">
        <v>67</v>
      </c>
      <c r="C786" s="2">
        <v>1.0</v>
      </c>
      <c r="D786" s="2" t="s">
        <v>68</v>
      </c>
      <c r="E786" s="2" t="s">
        <v>61</v>
      </c>
      <c r="F786" s="2" t="s">
        <v>48</v>
      </c>
      <c r="G786" s="2" t="s">
        <v>44</v>
      </c>
      <c r="H786" s="2" t="s">
        <v>45</v>
      </c>
      <c r="I786" s="2" t="s">
        <v>30</v>
      </c>
      <c r="J786" s="2">
        <v>7346.0</v>
      </c>
      <c r="K786" s="2">
        <v>3727.0</v>
      </c>
      <c r="L786" s="2">
        <v>982.0</v>
      </c>
      <c r="M786" s="2">
        <v>953.0</v>
      </c>
      <c r="N786" s="2">
        <v>581.0</v>
      </c>
      <c r="O786" s="2">
        <v>901.0</v>
      </c>
      <c r="P786" s="2">
        <v>710.0</v>
      </c>
      <c r="Q786" s="2">
        <v>235.0</v>
      </c>
      <c r="R786" s="2">
        <v>17722.0</v>
      </c>
      <c r="S786" s="2">
        <v>13939.0</v>
      </c>
      <c r="T786" s="2">
        <v>3783.0</v>
      </c>
      <c r="U786" s="2">
        <v>13939.0</v>
      </c>
      <c r="V786" s="2">
        <v>0.0</v>
      </c>
      <c r="W786" s="2">
        <v>3783.0</v>
      </c>
    </row>
    <row r="787" ht="15.0" customHeight="1">
      <c r="A787" s="2">
        <v>2025.0</v>
      </c>
      <c r="B787" s="2" t="s">
        <v>67</v>
      </c>
      <c r="C787" s="2">
        <v>1.0</v>
      </c>
      <c r="D787" s="2" t="s">
        <v>68</v>
      </c>
      <c r="E787" s="2" t="s">
        <v>61</v>
      </c>
      <c r="F787" s="2" t="s">
        <v>48</v>
      </c>
      <c r="G787" s="2" t="s">
        <v>44</v>
      </c>
      <c r="H787" s="2" t="s">
        <v>45</v>
      </c>
      <c r="I787" s="2" t="s">
        <v>31</v>
      </c>
      <c r="J787" s="2">
        <v>469.0</v>
      </c>
      <c r="K787" s="2">
        <v>302.0</v>
      </c>
      <c r="L787" s="2">
        <v>141.0</v>
      </c>
      <c r="M787" s="2">
        <v>110.0</v>
      </c>
      <c r="N787" s="2">
        <v>83.0</v>
      </c>
      <c r="O787" s="2">
        <v>168.0</v>
      </c>
      <c r="P787" s="2">
        <v>127.0</v>
      </c>
      <c r="Q787" s="2">
        <v>35.0</v>
      </c>
      <c r="R787" s="2">
        <v>3433.0</v>
      </c>
      <c r="S787" s="2">
        <v>0.0</v>
      </c>
      <c r="T787" s="2">
        <v>3433.0</v>
      </c>
      <c r="U787" s="2">
        <v>0.0</v>
      </c>
      <c r="V787" s="2">
        <v>0.0</v>
      </c>
      <c r="W787" s="2">
        <v>3433.0</v>
      </c>
    </row>
    <row r="788" ht="15.0" customHeight="1">
      <c r="A788" s="2">
        <v>2025.0</v>
      </c>
      <c r="B788" s="2" t="s">
        <v>67</v>
      </c>
      <c r="C788" s="2">
        <v>1.0</v>
      </c>
      <c r="D788" s="2" t="s">
        <v>68</v>
      </c>
      <c r="E788" s="2" t="s">
        <v>61</v>
      </c>
      <c r="F788" s="2" t="s">
        <v>48</v>
      </c>
      <c r="G788" s="2" t="s">
        <v>46</v>
      </c>
      <c r="H788" s="2" t="s">
        <v>47</v>
      </c>
      <c r="I788" s="2" t="s">
        <v>29</v>
      </c>
      <c r="J788" s="2">
        <v>21542.0</v>
      </c>
      <c r="K788" s="2">
        <v>10515.0</v>
      </c>
      <c r="L788" s="2">
        <v>3745.0</v>
      </c>
      <c r="M788" s="2">
        <v>3527.0</v>
      </c>
      <c r="N788" s="2">
        <v>3525.0</v>
      </c>
      <c r="O788" s="2">
        <v>7268.0</v>
      </c>
      <c r="P788" s="2">
        <v>6655.0</v>
      </c>
      <c r="Q788" s="2">
        <v>4058.0</v>
      </c>
      <c r="R788" s="2">
        <v>177209.0</v>
      </c>
      <c r="S788" s="2">
        <v>121640.0</v>
      </c>
      <c r="T788" s="2">
        <v>55569.0</v>
      </c>
      <c r="U788" s="2">
        <v>121640.0</v>
      </c>
      <c r="V788" s="2">
        <v>0.0</v>
      </c>
      <c r="W788" s="2">
        <v>55569.0</v>
      </c>
    </row>
    <row r="789" ht="15.0" customHeight="1">
      <c r="A789" s="2">
        <v>2025.0</v>
      </c>
      <c r="B789" s="2" t="s">
        <v>67</v>
      </c>
      <c r="C789" s="2">
        <v>1.0</v>
      </c>
      <c r="D789" s="2" t="s">
        <v>68</v>
      </c>
      <c r="E789" s="2" t="s">
        <v>61</v>
      </c>
      <c r="F789" s="2" t="s">
        <v>48</v>
      </c>
      <c r="G789" s="2" t="s">
        <v>46</v>
      </c>
      <c r="H789" s="2" t="s">
        <v>47</v>
      </c>
      <c r="I789" s="2" t="s">
        <v>30</v>
      </c>
      <c r="J789" s="2">
        <v>5280.0</v>
      </c>
      <c r="K789" s="2">
        <v>1961.0</v>
      </c>
      <c r="L789" s="2">
        <v>903.0</v>
      </c>
      <c r="M789" s="2">
        <v>869.0</v>
      </c>
      <c r="N789" s="2">
        <v>869.0</v>
      </c>
      <c r="O789" s="2">
        <v>1875.0</v>
      </c>
      <c r="P789" s="2">
        <v>1729.0</v>
      </c>
      <c r="Q789" s="2">
        <v>1005.0</v>
      </c>
      <c r="R789" s="2">
        <v>45779.0</v>
      </c>
      <c r="S789" s="2">
        <v>28500.0</v>
      </c>
      <c r="T789" s="2">
        <v>17279.0</v>
      </c>
      <c r="U789" s="2">
        <v>28500.0</v>
      </c>
      <c r="V789" s="2">
        <v>0.0</v>
      </c>
      <c r="W789" s="2">
        <v>17279.0</v>
      </c>
    </row>
    <row r="790" ht="15.0" customHeight="1">
      <c r="A790" s="2">
        <v>2025.0</v>
      </c>
      <c r="B790" s="2" t="s">
        <v>67</v>
      </c>
      <c r="C790" s="2">
        <v>1.0</v>
      </c>
      <c r="D790" s="2" t="s">
        <v>68</v>
      </c>
      <c r="E790" s="2" t="s">
        <v>61</v>
      </c>
      <c r="F790" s="2" t="s">
        <v>48</v>
      </c>
      <c r="G790" s="2" t="s">
        <v>46</v>
      </c>
      <c r="H790" s="2" t="s">
        <v>47</v>
      </c>
      <c r="I790" s="2" t="s">
        <v>31</v>
      </c>
      <c r="J790" s="2">
        <v>1594.0</v>
      </c>
      <c r="K790" s="2">
        <v>677.0</v>
      </c>
      <c r="L790" s="2">
        <v>420.0</v>
      </c>
      <c r="M790" s="2">
        <v>309.0</v>
      </c>
      <c r="N790" s="2">
        <v>309.0</v>
      </c>
      <c r="O790" s="2">
        <v>618.0</v>
      </c>
      <c r="P790" s="2">
        <v>577.0</v>
      </c>
      <c r="Q790" s="2">
        <v>364.0</v>
      </c>
      <c r="R790" s="2">
        <v>17603.0</v>
      </c>
      <c r="S790" s="2">
        <v>227.0</v>
      </c>
      <c r="T790" s="2">
        <v>17376.0</v>
      </c>
      <c r="U790" s="2">
        <v>227.0</v>
      </c>
      <c r="V790" s="2">
        <v>0.0</v>
      </c>
      <c r="W790" s="2">
        <v>17376.0</v>
      </c>
    </row>
    <row r="791" ht="15.0" customHeight="1">
      <c r="A791" s="2">
        <v>2025.0</v>
      </c>
      <c r="B791" s="2" t="s">
        <v>51</v>
      </c>
      <c r="C791" s="2">
        <v>7.0</v>
      </c>
      <c r="D791" s="2" t="s">
        <v>69</v>
      </c>
      <c r="E791" s="2" t="s">
        <v>63</v>
      </c>
      <c r="F791" s="2" t="s">
        <v>26</v>
      </c>
      <c r="G791" s="2" t="s">
        <v>27</v>
      </c>
      <c r="H791" s="2" t="s">
        <v>28</v>
      </c>
      <c r="I791" s="2" t="s">
        <v>29</v>
      </c>
      <c r="J791" s="2">
        <v>4439.0</v>
      </c>
      <c r="K791" s="2">
        <v>2371.0</v>
      </c>
      <c r="L791" s="2">
        <v>696.0</v>
      </c>
      <c r="M791" s="2">
        <v>667.0</v>
      </c>
      <c r="N791" s="2">
        <v>552.0</v>
      </c>
      <c r="O791" s="2">
        <v>1099.0</v>
      </c>
      <c r="P791" s="2">
        <v>870.0</v>
      </c>
      <c r="Q791" s="2">
        <v>167.0</v>
      </c>
      <c r="R791" s="2">
        <v>17467.0</v>
      </c>
      <c r="S791" s="2">
        <v>10683.0</v>
      </c>
      <c r="T791" s="2">
        <v>6784.0</v>
      </c>
      <c r="U791" s="2">
        <v>10118.0</v>
      </c>
      <c r="V791" s="2">
        <v>565.0</v>
      </c>
      <c r="W791" s="2">
        <v>7349.0</v>
      </c>
    </row>
    <row r="792" ht="15.0" customHeight="1">
      <c r="A792" s="2">
        <v>2025.0</v>
      </c>
      <c r="B792" s="2" t="s">
        <v>51</v>
      </c>
      <c r="C792" s="2">
        <v>7.0</v>
      </c>
      <c r="D792" s="2" t="s">
        <v>69</v>
      </c>
      <c r="E792" s="2" t="s">
        <v>63</v>
      </c>
      <c r="F792" s="2" t="s">
        <v>26</v>
      </c>
      <c r="G792" s="2" t="s">
        <v>27</v>
      </c>
      <c r="H792" s="2" t="s">
        <v>28</v>
      </c>
      <c r="I792" s="2" t="s">
        <v>30</v>
      </c>
      <c r="J792" s="2">
        <v>1353.0</v>
      </c>
      <c r="K792" s="2">
        <v>579.0</v>
      </c>
      <c r="L792" s="2">
        <v>157.0</v>
      </c>
      <c r="M792" s="2">
        <v>151.0</v>
      </c>
      <c r="N792" s="2">
        <v>124.0</v>
      </c>
      <c r="O792" s="2">
        <v>253.0</v>
      </c>
      <c r="P792" s="2">
        <v>200.0</v>
      </c>
      <c r="Q792" s="2">
        <v>49.0</v>
      </c>
      <c r="R792" s="2">
        <v>4199.0</v>
      </c>
      <c r="S792" s="2">
        <v>1717.0</v>
      </c>
      <c r="T792" s="2">
        <v>2482.0</v>
      </c>
      <c r="U792" s="2">
        <v>1714.0</v>
      </c>
      <c r="V792" s="2">
        <v>3.0</v>
      </c>
      <c r="W792" s="2">
        <v>2485.0</v>
      </c>
    </row>
    <row r="793" ht="15.0" customHeight="1">
      <c r="A793" s="2">
        <v>2025.0</v>
      </c>
      <c r="B793" s="2" t="s">
        <v>51</v>
      </c>
      <c r="C793" s="2">
        <v>7.0</v>
      </c>
      <c r="D793" s="2" t="s">
        <v>69</v>
      </c>
      <c r="E793" s="2" t="s">
        <v>63</v>
      </c>
      <c r="F793" s="2" t="s">
        <v>26</v>
      </c>
      <c r="G793" s="2" t="s">
        <v>27</v>
      </c>
      <c r="H793" s="2" t="s">
        <v>28</v>
      </c>
      <c r="I793" s="2" t="s">
        <v>31</v>
      </c>
      <c r="J793" s="2">
        <v>632.0</v>
      </c>
      <c r="K793" s="2">
        <v>260.0</v>
      </c>
      <c r="L793" s="2">
        <v>181.0</v>
      </c>
      <c r="M793" s="2">
        <v>151.0</v>
      </c>
      <c r="N793" s="2">
        <v>124.0</v>
      </c>
      <c r="O793" s="2">
        <v>266.0</v>
      </c>
      <c r="P793" s="2">
        <v>211.0</v>
      </c>
      <c r="Q793" s="2">
        <v>42.0</v>
      </c>
      <c r="R793" s="2">
        <v>3989.0</v>
      </c>
      <c r="S793" s="2">
        <v>415.0</v>
      </c>
      <c r="T793" s="2">
        <v>3574.0</v>
      </c>
      <c r="U793" s="2">
        <v>415.0</v>
      </c>
      <c r="V793" s="2">
        <v>0.0</v>
      </c>
      <c r="W793" s="2">
        <v>3574.0</v>
      </c>
    </row>
    <row r="794" ht="15.0" customHeight="1">
      <c r="A794" s="2">
        <v>2025.0</v>
      </c>
      <c r="B794" s="2" t="s">
        <v>51</v>
      </c>
      <c r="C794" s="2">
        <v>7.0</v>
      </c>
      <c r="D794" s="2" t="s">
        <v>69</v>
      </c>
      <c r="E794" s="2" t="s">
        <v>63</v>
      </c>
      <c r="F794" s="2" t="s">
        <v>26</v>
      </c>
      <c r="G794" s="2" t="s">
        <v>32</v>
      </c>
      <c r="H794" s="2" t="s">
        <v>28</v>
      </c>
      <c r="I794" s="2" t="s">
        <v>29</v>
      </c>
      <c r="J794" s="2">
        <v>21626.0</v>
      </c>
      <c r="K794" s="2">
        <v>11744.0</v>
      </c>
      <c r="L794" s="2">
        <v>6026.0</v>
      </c>
      <c r="M794" s="2">
        <v>5739.0</v>
      </c>
      <c r="N794" s="2">
        <v>3684.0</v>
      </c>
      <c r="O794" s="2">
        <v>4505.0</v>
      </c>
      <c r="P794" s="2">
        <v>3814.0</v>
      </c>
      <c r="Q794" s="2">
        <v>42.0</v>
      </c>
      <c r="R794" s="2">
        <v>34277.0</v>
      </c>
      <c r="S794" s="2">
        <v>16216.0</v>
      </c>
      <c r="T794" s="2">
        <v>18061.0</v>
      </c>
      <c r="U794" s="2">
        <v>15871.0</v>
      </c>
      <c r="V794" s="2">
        <v>345.0</v>
      </c>
      <c r="W794" s="2">
        <v>18406.0</v>
      </c>
    </row>
    <row r="795" ht="15.0" customHeight="1">
      <c r="A795" s="2">
        <v>2025.0</v>
      </c>
      <c r="B795" s="2" t="s">
        <v>51</v>
      </c>
      <c r="C795" s="2">
        <v>7.0</v>
      </c>
      <c r="D795" s="2" t="s">
        <v>69</v>
      </c>
      <c r="E795" s="2" t="s">
        <v>63</v>
      </c>
      <c r="F795" s="2" t="s">
        <v>26</v>
      </c>
      <c r="G795" s="2" t="s">
        <v>32</v>
      </c>
      <c r="H795" s="2" t="s">
        <v>28</v>
      </c>
      <c r="I795" s="2" t="s">
        <v>30</v>
      </c>
      <c r="J795" s="2">
        <v>24133.0</v>
      </c>
      <c r="K795" s="2">
        <v>8885.0</v>
      </c>
      <c r="L795" s="2">
        <v>4417.0</v>
      </c>
      <c r="M795" s="2">
        <v>4237.0</v>
      </c>
      <c r="N795" s="2">
        <v>2524.0</v>
      </c>
      <c r="O795" s="2">
        <v>3052.0</v>
      </c>
      <c r="P795" s="2">
        <v>2559.0</v>
      </c>
      <c r="Q795" s="2">
        <v>59.0</v>
      </c>
      <c r="R795" s="2">
        <v>22075.0</v>
      </c>
      <c r="S795" s="2">
        <v>21477.0</v>
      </c>
      <c r="T795" s="2">
        <v>598.0</v>
      </c>
      <c r="U795" s="2">
        <v>21447.0</v>
      </c>
      <c r="V795" s="2">
        <v>30.0</v>
      </c>
      <c r="W795" s="2">
        <v>628.0</v>
      </c>
    </row>
    <row r="796" ht="15.0" customHeight="1">
      <c r="A796" s="2">
        <v>2025.0</v>
      </c>
      <c r="B796" s="2" t="s">
        <v>51</v>
      </c>
      <c r="C796" s="2">
        <v>7.0</v>
      </c>
      <c r="D796" s="2" t="s">
        <v>69</v>
      </c>
      <c r="E796" s="2" t="s">
        <v>63</v>
      </c>
      <c r="F796" s="2" t="s">
        <v>26</v>
      </c>
      <c r="G796" s="2" t="s">
        <v>32</v>
      </c>
      <c r="H796" s="2" t="s">
        <v>28</v>
      </c>
      <c r="I796" s="2" t="s">
        <v>31</v>
      </c>
      <c r="J796" s="2">
        <v>9403.0</v>
      </c>
      <c r="K796" s="2">
        <v>5594.0</v>
      </c>
      <c r="L796" s="2">
        <v>3832.0</v>
      </c>
      <c r="M796" s="2">
        <v>3546.0</v>
      </c>
      <c r="N796" s="2">
        <v>2118.0</v>
      </c>
      <c r="O796" s="2">
        <v>2600.0</v>
      </c>
      <c r="P796" s="2">
        <v>2255.0</v>
      </c>
      <c r="Q796" s="2">
        <v>37.0</v>
      </c>
      <c r="R796" s="2">
        <v>20182.0</v>
      </c>
      <c r="S796" s="2">
        <v>852.0</v>
      </c>
      <c r="T796" s="2">
        <v>19330.0</v>
      </c>
      <c r="U796" s="2">
        <v>852.0</v>
      </c>
      <c r="V796" s="2">
        <v>0.0</v>
      </c>
      <c r="W796" s="2">
        <v>19330.0</v>
      </c>
    </row>
    <row r="797" ht="15.0" customHeight="1">
      <c r="A797" s="2">
        <v>2025.0</v>
      </c>
      <c r="B797" s="2" t="s">
        <v>51</v>
      </c>
      <c r="C797" s="2">
        <v>7.0</v>
      </c>
      <c r="D797" s="2" t="s">
        <v>69</v>
      </c>
      <c r="E797" s="2" t="s">
        <v>63</v>
      </c>
      <c r="F797" s="2" t="s">
        <v>26</v>
      </c>
      <c r="G797" s="2" t="s">
        <v>33</v>
      </c>
      <c r="H797" s="2" t="s">
        <v>28</v>
      </c>
      <c r="I797" s="2" t="s">
        <v>29</v>
      </c>
      <c r="J797" s="2">
        <v>12408.0</v>
      </c>
      <c r="K797" s="2">
        <v>6961.0</v>
      </c>
      <c r="L797" s="2">
        <v>3387.0</v>
      </c>
      <c r="M797" s="2">
        <v>3270.0</v>
      </c>
      <c r="N797" s="2">
        <v>1696.0</v>
      </c>
      <c r="O797" s="2">
        <v>2052.0</v>
      </c>
      <c r="P797" s="2">
        <v>1877.0</v>
      </c>
      <c r="Q797" s="2">
        <v>253.0</v>
      </c>
      <c r="R797" s="2">
        <v>18073.0</v>
      </c>
      <c r="S797" s="2">
        <v>11855.0</v>
      </c>
      <c r="T797" s="2">
        <v>6218.0</v>
      </c>
      <c r="U797" s="2">
        <v>11853.0</v>
      </c>
      <c r="V797" s="2">
        <v>3.0</v>
      </c>
      <c r="W797" s="2">
        <v>6220.0</v>
      </c>
    </row>
    <row r="798" ht="15.0" customHeight="1">
      <c r="A798" s="2">
        <v>2025.0</v>
      </c>
      <c r="B798" s="2" t="s">
        <v>51</v>
      </c>
      <c r="C798" s="2">
        <v>7.0</v>
      </c>
      <c r="D798" s="2" t="s">
        <v>69</v>
      </c>
      <c r="E798" s="2" t="s">
        <v>63</v>
      </c>
      <c r="F798" s="2" t="s">
        <v>26</v>
      </c>
      <c r="G798" s="2" t="s">
        <v>33</v>
      </c>
      <c r="H798" s="2" t="s">
        <v>28</v>
      </c>
      <c r="I798" s="2" t="s">
        <v>30</v>
      </c>
      <c r="J798" s="2">
        <v>6124.0</v>
      </c>
      <c r="K798" s="2">
        <v>3266.0</v>
      </c>
      <c r="L798" s="2">
        <v>1492.0</v>
      </c>
      <c r="M798" s="2">
        <v>1431.0</v>
      </c>
      <c r="N798" s="2">
        <v>723.0</v>
      </c>
      <c r="O798" s="2">
        <v>859.0</v>
      </c>
      <c r="P798" s="2">
        <v>799.0</v>
      </c>
      <c r="Q798" s="2">
        <v>47.0</v>
      </c>
      <c r="R798" s="2">
        <v>6717.0</v>
      </c>
      <c r="S798" s="2">
        <v>4347.0</v>
      </c>
      <c r="T798" s="2">
        <v>2371.0</v>
      </c>
      <c r="U798" s="2">
        <v>4347.0</v>
      </c>
      <c r="V798" s="2">
        <v>0.0</v>
      </c>
      <c r="W798" s="2">
        <v>2371.0</v>
      </c>
    </row>
    <row r="799" ht="15.0" customHeight="1">
      <c r="A799" s="2">
        <v>2025.0</v>
      </c>
      <c r="B799" s="2" t="s">
        <v>51</v>
      </c>
      <c r="C799" s="2">
        <v>7.0</v>
      </c>
      <c r="D799" s="2" t="s">
        <v>69</v>
      </c>
      <c r="E799" s="2" t="s">
        <v>63</v>
      </c>
      <c r="F799" s="2" t="s">
        <v>26</v>
      </c>
      <c r="G799" s="2" t="s">
        <v>33</v>
      </c>
      <c r="H799" s="2" t="s">
        <v>28</v>
      </c>
      <c r="I799" s="2" t="s">
        <v>31</v>
      </c>
      <c r="J799" s="2">
        <v>1071.0</v>
      </c>
      <c r="K799" s="2">
        <v>423.0</v>
      </c>
      <c r="L799" s="2">
        <v>324.0</v>
      </c>
      <c r="M799" s="2">
        <v>289.0</v>
      </c>
      <c r="N799" s="2">
        <v>150.0</v>
      </c>
      <c r="O799" s="2">
        <v>186.0</v>
      </c>
      <c r="P799" s="2">
        <v>165.0</v>
      </c>
      <c r="Q799" s="2">
        <v>13.0</v>
      </c>
      <c r="R799" s="2">
        <v>1521.0</v>
      </c>
      <c r="S799" s="2">
        <v>194.0</v>
      </c>
      <c r="T799" s="2">
        <v>1327.0</v>
      </c>
      <c r="U799" s="2">
        <v>194.0</v>
      </c>
      <c r="V799" s="2">
        <v>0.0</v>
      </c>
      <c r="W799" s="2">
        <v>1327.0</v>
      </c>
    </row>
    <row r="800" ht="15.0" customHeight="1">
      <c r="A800" s="2">
        <v>2025.0</v>
      </c>
      <c r="B800" s="2" t="s">
        <v>51</v>
      </c>
      <c r="C800" s="2">
        <v>7.0</v>
      </c>
      <c r="D800" s="2" t="s">
        <v>69</v>
      </c>
      <c r="E800" s="2" t="s">
        <v>63</v>
      </c>
      <c r="F800" s="2" t="s">
        <v>26</v>
      </c>
      <c r="G800" s="2" t="s">
        <v>34</v>
      </c>
      <c r="H800" s="2" t="s">
        <v>35</v>
      </c>
      <c r="I800" s="2" t="s">
        <v>29</v>
      </c>
      <c r="J800" s="2">
        <v>9887.0</v>
      </c>
      <c r="K800" s="2">
        <v>6265.0</v>
      </c>
      <c r="L800" s="2">
        <v>3266.0</v>
      </c>
      <c r="M800" s="2">
        <v>3128.0</v>
      </c>
      <c r="N800" s="2">
        <v>855.0</v>
      </c>
      <c r="O800" s="2">
        <v>1024.0</v>
      </c>
      <c r="P800" s="2">
        <v>711.0</v>
      </c>
      <c r="Q800" s="2">
        <v>20.0</v>
      </c>
      <c r="R800" s="2">
        <v>9496.0</v>
      </c>
      <c r="S800" s="2">
        <v>6487.0</v>
      </c>
      <c r="T800" s="2">
        <v>3009.0</v>
      </c>
      <c r="U800" s="2">
        <v>6211.0</v>
      </c>
      <c r="V800" s="2">
        <v>276.0</v>
      </c>
      <c r="W800" s="2">
        <v>3285.0</v>
      </c>
    </row>
    <row r="801" ht="15.0" customHeight="1">
      <c r="A801" s="2">
        <v>2025.0</v>
      </c>
      <c r="B801" s="2" t="s">
        <v>51</v>
      </c>
      <c r="C801" s="2">
        <v>7.0</v>
      </c>
      <c r="D801" s="2" t="s">
        <v>69</v>
      </c>
      <c r="E801" s="2" t="s">
        <v>63</v>
      </c>
      <c r="F801" s="2" t="s">
        <v>26</v>
      </c>
      <c r="G801" s="2" t="s">
        <v>34</v>
      </c>
      <c r="H801" s="2" t="s">
        <v>35</v>
      </c>
      <c r="I801" s="2" t="s">
        <v>30</v>
      </c>
      <c r="J801" s="2">
        <v>4186.0</v>
      </c>
      <c r="K801" s="2">
        <v>2187.0</v>
      </c>
      <c r="L801" s="2">
        <v>1014.0</v>
      </c>
      <c r="M801" s="2">
        <v>957.0</v>
      </c>
      <c r="N801" s="2">
        <v>279.0</v>
      </c>
      <c r="O801" s="2">
        <v>338.0</v>
      </c>
      <c r="P801" s="2">
        <v>253.0</v>
      </c>
      <c r="Q801" s="2">
        <v>14.0</v>
      </c>
      <c r="R801" s="2">
        <v>3580.0</v>
      </c>
      <c r="S801" s="2">
        <v>1907.0</v>
      </c>
      <c r="T801" s="2">
        <v>1674.0</v>
      </c>
      <c r="U801" s="2">
        <v>1907.0</v>
      </c>
      <c r="V801" s="2">
        <v>0.0</v>
      </c>
      <c r="W801" s="2">
        <v>1674.0</v>
      </c>
    </row>
    <row r="802" ht="15.0" customHeight="1">
      <c r="A802" s="2">
        <v>2025.0</v>
      </c>
      <c r="B802" s="2" t="s">
        <v>51</v>
      </c>
      <c r="C802" s="2">
        <v>7.0</v>
      </c>
      <c r="D802" s="2" t="s">
        <v>69</v>
      </c>
      <c r="E802" s="2" t="s">
        <v>63</v>
      </c>
      <c r="F802" s="2" t="s">
        <v>26</v>
      </c>
      <c r="G802" s="2" t="s">
        <v>34</v>
      </c>
      <c r="H802" s="2" t="s">
        <v>35</v>
      </c>
      <c r="I802" s="2" t="s">
        <v>31</v>
      </c>
      <c r="J802" s="2">
        <v>937.0</v>
      </c>
      <c r="K802" s="2">
        <v>549.0</v>
      </c>
      <c r="L802" s="2">
        <v>315.0</v>
      </c>
      <c r="M802" s="2">
        <v>263.0</v>
      </c>
      <c r="N802" s="2">
        <v>70.0</v>
      </c>
      <c r="O802" s="2">
        <v>98.0</v>
      </c>
      <c r="P802" s="2">
        <v>78.0</v>
      </c>
      <c r="Q802" s="2">
        <v>2.0</v>
      </c>
      <c r="R802" s="2">
        <v>1206.0</v>
      </c>
      <c r="S802" s="2">
        <v>5.0</v>
      </c>
      <c r="T802" s="2">
        <v>1201.0</v>
      </c>
      <c r="U802" s="2">
        <v>5.0</v>
      </c>
      <c r="V802" s="2">
        <v>0.0</v>
      </c>
      <c r="W802" s="2">
        <v>1201.0</v>
      </c>
    </row>
    <row r="803" ht="15.0" customHeight="1">
      <c r="A803" s="2">
        <v>2025.0</v>
      </c>
      <c r="B803" s="2" t="s">
        <v>51</v>
      </c>
      <c r="C803" s="2">
        <v>7.0</v>
      </c>
      <c r="D803" s="2" t="s">
        <v>69</v>
      </c>
      <c r="E803" s="2" t="s">
        <v>63</v>
      </c>
      <c r="F803" s="2" t="s">
        <v>26</v>
      </c>
      <c r="G803" s="2" t="s">
        <v>36</v>
      </c>
      <c r="H803" s="2" t="s">
        <v>35</v>
      </c>
      <c r="I803" s="2" t="s">
        <v>29</v>
      </c>
      <c r="J803" s="2">
        <v>5096.0</v>
      </c>
      <c r="K803" s="2">
        <v>3480.0</v>
      </c>
      <c r="L803" s="2">
        <v>2021.0</v>
      </c>
      <c r="M803" s="2">
        <v>1945.0</v>
      </c>
      <c r="N803" s="2">
        <v>804.0</v>
      </c>
      <c r="O803" s="2">
        <v>1011.0</v>
      </c>
      <c r="P803" s="2">
        <v>725.0</v>
      </c>
      <c r="Q803" s="2">
        <v>0.0</v>
      </c>
      <c r="R803" s="2">
        <v>8171.0</v>
      </c>
      <c r="S803" s="2">
        <v>5797.0</v>
      </c>
      <c r="T803" s="2">
        <v>2374.0</v>
      </c>
      <c r="U803" s="2">
        <v>5797.0</v>
      </c>
      <c r="V803" s="2">
        <v>0.0</v>
      </c>
      <c r="W803" s="2">
        <v>2374.0</v>
      </c>
    </row>
    <row r="804" ht="15.0" customHeight="1">
      <c r="A804" s="2">
        <v>2025.0</v>
      </c>
      <c r="B804" s="2" t="s">
        <v>51</v>
      </c>
      <c r="C804" s="2">
        <v>7.0</v>
      </c>
      <c r="D804" s="2" t="s">
        <v>69</v>
      </c>
      <c r="E804" s="2" t="s">
        <v>63</v>
      </c>
      <c r="F804" s="2" t="s">
        <v>26</v>
      </c>
      <c r="G804" s="2" t="s">
        <v>36</v>
      </c>
      <c r="H804" s="2" t="s">
        <v>35</v>
      </c>
      <c r="I804" s="2" t="s">
        <v>30</v>
      </c>
      <c r="J804" s="2">
        <v>1623.0</v>
      </c>
      <c r="K804" s="2">
        <v>476.0</v>
      </c>
      <c r="L804" s="2">
        <v>251.0</v>
      </c>
      <c r="M804" s="2">
        <v>242.0</v>
      </c>
      <c r="N804" s="2">
        <v>102.0</v>
      </c>
      <c r="O804" s="2">
        <v>130.0</v>
      </c>
      <c r="P804" s="2">
        <v>102.0</v>
      </c>
      <c r="Q804" s="2">
        <v>0.0</v>
      </c>
      <c r="R804" s="2">
        <v>1258.0</v>
      </c>
      <c r="S804" s="2">
        <v>1696.0</v>
      </c>
      <c r="T804" s="2">
        <v>-439.0</v>
      </c>
      <c r="U804" s="2">
        <v>1623.0</v>
      </c>
      <c r="V804" s="2">
        <v>73.0</v>
      </c>
      <c r="W804" s="2">
        <v>-365.0</v>
      </c>
    </row>
    <row r="805" ht="15.0" customHeight="1">
      <c r="A805" s="2">
        <v>2025.0</v>
      </c>
      <c r="B805" s="2" t="s">
        <v>51</v>
      </c>
      <c r="C805" s="2">
        <v>7.0</v>
      </c>
      <c r="D805" s="2" t="s">
        <v>69</v>
      </c>
      <c r="E805" s="2" t="s">
        <v>63</v>
      </c>
      <c r="F805" s="2" t="s">
        <v>26</v>
      </c>
      <c r="G805" s="2" t="s">
        <v>36</v>
      </c>
      <c r="H805" s="2" t="s">
        <v>35</v>
      </c>
      <c r="I805" s="2" t="s">
        <v>31</v>
      </c>
      <c r="J805" s="2">
        <v>694.0</v>
      </c>
      <c r="K805" s="2">
        <v>375.0</v>
      </c>
      <c r="L805" s="2">
        <v>229.0</v>
      </c>
      <c r="M805" s="2">
        <v>213.0</v>
      </c>
      <c r="N805" s="2">
        <v>72.0</v>
      </c>
      <c r="O805" s="2">
        <v>90.0</v>
      </c>
      <c r="P805" s="2">
        <v>70.0</v>
      </c>
      <c r="Q805" s="2">
        <v>0.0</v>
      </c>
      <c r="R805" s="2">
        <v>750.0</v>
      </c>
      <c r="S805" s="2">
        <v>0.0</v>
      </c>
      <c r="T805" s="2">
        <v>750.0</v>
      </c>
      <c r="U805" s="2">
        <v>0.0</v>
      </c>
      <c r="V805" s="2">
        <v>0.0</v>
      </c>
      <c r="W805" s="2">
        <v>750.0</v>
      </c>
    </row>
    <row r="806" ht="15.0" customHeight="1">
      <c r="A806" s="2">
        <v>2025.0</v>
      </c>
      <c r="B806" s="2" t="s">
        <v>51</v>
      </c>
      <c r="C806" s="2">
        <v>7.0</v>
      </c>
      <c r="D806" s="2" t="s">
        <v>69</v>
      </c>
      <c r="E806" s="2" t="s">
        <v>63</v>
      </c>
      <c r="F806" s="2" t="s">
        <v>26</v>
      </c>
      <c r="G806" s="2" t="s">
        <v>37</v>
      </c>
      <c r="H806" s="2" t="s">
        <v>35</v>
      </c>
      <c r="I806" s="2" t="s">
        <v>29</v>
      </c>
      <c r="J806" s="2">
        <v>832.0</v>
      </c>
      <c r="K806" s="2">
        <v>417.0</v>
      </c>
      <c r="L806" s="2">
        <v>166.0</v>
      </c>
      <c r="M806" s="2">
        <v>151.0</v>
      </c>
      <c r="N806" s="2">
        <v>125.0</v>
      </c>
      <c r="O806" s="2">
        <v>335.0</v>
      </c>
      <c r="P806" s="2">
        <v>238.0</v>
      </c>
      <c r="Q806" s="2">
        <v>0.0</v>
      </c>
      <c r="R806" s="2">
        <v>5451.0</v>
      </c>
      <c r="S806" s="2">
        <v>3413.0</v>
      </c>
      <c r="T806" s="2">
        <v>2039.0</v>
      </c>
      <c r="U806" s="2">
        <v>3413.0</v>
      </c>
      <c r="V806" s="2">
        <v>0.0</v>
      </c>
      <c r="W806" s="2">
        <v>2039.0</v>
      </c>
    </row>
    <row r="807" ht="15.0" customHeight="1">
      <c r="A807" s="2">
        <v>2025.0</v>
      </c>
      <c r="B807" s="2" t="s">
        <v>51</v>
      </c>
      <c r="C807" s="2">
        <v>7.0</v>
      </c>
      <c r="D807" s="2" t="s">
        <v>69</v>
      </c>
      <c r="E807" s="2" t="s">
        <v>63</v>
      </c>
      <c r="F807" s="2" t="s">
        <v>26</v>
      </c>
      <c r="G807" s="2" t="s">
        <v>37</v>
      </c>
      <c r="H807" s="2" t="s">
        <v>35</v>
      </c>
      <c r="I807" s="2" t="s">
        <v>30</v>
      </c>
      <c r="J807" s="2">
        <v>224.0</v>
      </c>
      <c r="K807" s="2">
        <v>108.0</v>
      </c>
      <c r="L807" s="2">
        <v>49.0</v>
      </c>
      <c r="M807" s="2">
        <v>45.0</v>
      </c>
      <c r="N807" s="2">
        <v>36.0</v>
      </c>
      <c r="O807" s="2">
        <v>89.0</v>
      </c>
      <c r="P807" s="2">
        <v>69.0</v>
      </c>
      <c r="Q807" s="2">
        <v>0.0</v>
      </c>
      <c r="R807" s="2">
        <v>1578.0</v>
      </c>
      <c r="S807" s="2">
        <v>725.0</v>
      </c>
      <c r="T807" s="2">
        <v>853.0</v>
      </c>
      <c r="U807" s="2">
        <v>725.0</v>
      </c>
      <c r="V807" s="2">
        <v>0.0</v>
      </c>
      <c r="W807" s="2">
        <v>853.0</v>
      </c>
    </row>
    <row r="808" ht="15.0" customHeight="1">
      <c r="A808" s="2">
        <v>2025.0</v>
      </c>
      <c r="B808" s="2" t="s">
        <v>51</v>
      </c>
      <c r="C808" s="2">
        <v>7.0</v>
      </c>
      <c r="D808" s="2" t="s">
        <v>69</v>
      </c>
      <c r="E808" s="2" t="s">
        <v>63</v>
      </c>
      <c r="F808" s="2" t="s">
        <v>26</v>
      </c>
      <c r="G808" s="2" t="s">
        <v>37</v>
      </c>
      <c r="H808" s="2" t="s">
        <v>35</v>
      </c>
      <c r="I808" s="2" t="s">
        <v>31</v>
      </c>
      <c r="J808" s="2">
        <v>24.0</v>
      </c>
      <c r="K808" s="2">
        <v>17.0</v>
      </c>
      <c r="L808" s="2">
        <v>9.0</v>
      </c>
      <c r="M808" s="2">
        <v>7.0</v>
      </c>
      <c r="N808" s="2">
        <v>7.0</v>
      </c>
      <c r="O808" s="2">
        <v>25.0</v>
      </c>
      <c r="P808" s="2">
        <v>20.0</v>
      </c>
      <c r="Q808" s="2">
        <v>0.0</v>
      </c>
      <c r="R808" s="2">
        <v>467.0</v>
      </c>
      <c r="S808" s="2">
        <v>0.0</v>
      </c>
      <c r="T808" s="2">
        <v>467.0</v>
      </c>
      <c r="U808" s="2">
        <v>0.0</v>
      </c>
      <c r="V808" s="2">
        <v>0.0</v>
      </c>
      <c r="W808" s="2">
        <v>467.0</v>
      </c>
    </row>
    <row r="809" ht="15.0" customHeight="1">
      <c r="A809" s="2">
        <v>2025.0</v>
      </c>
      <c r="B809" s="2" t="s">
        <v>51</v>
      </c>
      <c r="C809" s="2">
        <v>7.0</v>
      </c>
      <c r="D809" s="2" t="s">
        <v>69</v>
      </c>
      <c r="E809" s="2" t="s">
        <v>63</v>
      </c>
      <c r="F809" s="2" t="s">
        <v>26</v>
      </c>
      <c r="G809" s="2" t="s">
        <v>38</v>
      </c>
      <c r="H809" s="2" t="s">
        <v>35</v>
      </c>
      <c r="I809" s="2" t="s">
        <v>29</v>
      </c>
      <c r="J809" s="2">
        <v>4116.0</v>
      </c>
      <c r="K809" s="2">
        <v>2272.0</v>
      </c>
      <c r="L809" s="2">
        <v>1266.0</v>
      </c>
      <c r="M809" s="2">
        <v>1220.0</v>
      </c>
      <c r="N809" s="2">
        <v>887.0</v>
      </c>
      <c r="O809" s="2">
        <v>1509.0</v>
      </c>
      <c r="P809" s="2">
        <v>1153.0</v>
      </c>
      <c r="Q809" s="2">
        <v>154.0</v>
      </c>
      <c r="R809" s="2">
        <v>15798.0</v>
      </c>
      <c r="S809" s="2">
        <v>8472.0</v>
      </c>
      <c r="T809" s="2">
        <v>7327.0</v>
      </c>
      <c r="U809" s="2">
        <v>8452.0</v>
      </c>
      <c r="V809" s="2">
        <v>20.0</v>
      </c>
      <c r="W809" s="2">
        <v>7347.0</v>
      </c>
    </row>
    <row r="810" ht="15.0" customHeight="1">
      <c r="A810" s="2">
        <v>2025.0</v>
      </c>
      <c r="B810" s="2" t="s">
        <v>51</v>
      </c>
      <c r="C810" s="2">
        <v>7.0</v>
      </c>
      <c r="D810" s="2" t="s">
        <v>69</v>
      </c>
      <c r="E810" s="2" t="s">
        <v>63</v>
      </c>
      <c r="F810" s="2" t="s">
        <v>26</v>
      </c>
      <c r="G810" s="2" t="s">
        <v>38</v>
      </c>
      <c r="H810" s="2" t="s">
        <v>35</v>
      </c>
      <c r="I810" s="2" t="s">
        <v>30</v>
      </c>
      <c r="J810" s="2">
        <v>3560.0</v>
      </c>
      <c r="K810" s="2">
        <v>1275.0</v>
      </c>
      <c r="L810" s="2">
        <v>806.0</v>
      </c>
      <c r="M810" s="2">
        <v>773.0</v>
      </c>
      <c r="N810" s="2">
        <v>545.0</v>
      </c>
      <c r="O810" s="2">
        <v>898.0</v>
      </c>
      <c r="P810" s="2">
        <v>626.0</v>
      </c>
      <c r="Q810" s="2">
        <v>86.0</v>
      </c>
      <c r="R810" s="2">
        <v>8308.0</v>
      </c>
      <c r="S810" s="2">
        <v>8245.0</v>
      </c>
      <c r="T810" s="2">
        <v>64.0</v>
      </c>
      <c r="U810" s="2">
        <v>8245.0</v>
      </c>
      <c r="V810" s="2">
        <v>0.0</v>
      </c>
      <c r="W810" s="2">
        <v>64.0</v>
      </c>
    </row>
    <row r="811" ht="15.0" customHeight="1">
      <c r="A811" s="2">
        <v>2025.0</v>
      </c>
      <c r="B811" s="2" t="s">
        <v>51</v>
      </c>
      <c r="C811" s="2">
        <v>7.0</v>
      </c>
      <c r="D811" s="2" t="s">
        <v>69</v>
      </c>
      <c r="E811" s="2" t="s">
        <v>63</v>
      </c>
      <c r="F811" s="2" t="s">
        <v>26</v>
      </c>
      <c r="G811" s="2" t="s">
        <v>38</v>
      </c>
      <c r="H811" s="2" t="s">
        <v>35</v>
      </c>
      <c r="I811" s="2" t="s">
        <v>31</v>
      </c>
      <c r="J811" s="2">
        <v>830.0</v>
      </c>
      <c r="K811" s="2">
        <v>463.0</v>
      </c>
      <c r="L811" s="2">
        <v>299.0</v>
      </c>
      <c r="M811" s="2">
        <v>263.0</v>
      </c>
      <c r="N811" s="2">
        <v>188.0</v>
      </c>
      <c r="O811" s="2">
        <v>323.0</v>
      </c>
      <c r="P811" s="2">
        <v>250.0</v>
      </c>
      <c r="Q811" s="2">
        <v>36.0</v>
      </c>
      <c r="R811" s="2">
        <v>3511.0</v>
      </c>
      <c r="S811" s="2">
        <v>0.0</v>
      </c>
      <c r="T811" s="2">
        <v>3511.0</v>
      </c>
      <c r="U811" s="2">
        <v>0.0</v>
      </c>
      <c r="V811" s="2">
        <v>0.0</v>
      </c>
      <c r="W811" s="2">
        <v>3511.0</v>
      </c>
    </row>
    <row r="812" ht="15.0" customHeight="1">
      <c r="A812" s="2">
        <v>2025.0</v>
      </c>
      <c r="B812" s="2" t="s">
        <v>51</v>
      </c>
      <c r="C812" s="2">
        <v>7.0</v>
      </c>
      <c r="D812" s="2" t="s">
        <v>69</v>
      </c>
      <c r="E812" s="2" t="s">
        <v>63</v>
      </c>
      <c r="F812" s="2" t="s">
        <v>26</v>
      </c>
      <c r="G812" s="2" t="s">
        <v>39</v>
      </c>
      <c r="H812" s="2" t="s">
        <v>40</v>
      </c>
      <c r="I812" s="2" t="s">
        <v>29</v>
      </c>
      <c r="J812" s="2">
        <v>8869.0</v>
      </c>
      <c r="K812" s="2">
        <v>5717.0</v>
      </c>
      <c r="L812" s="2">
        <v>3246.0</v>
      </c>
      <c r="M812" s="2">
        <v>3074.0</v>
      </c>
      <c r="N812" s="2">
        <v>1218.0</v>
      </c>
      <c r="O812" s="2">
        <v>1511.0</v>
      </c>
      <c r="P812" s="2">
        <v>863.0</v>
      </c>
      <c r="Q812" s="2">
        <v>0.0</v>
      </c>
      <c r="R812" s="2">
        <v>12809.0</v>
      </c>
      <c r="S812" s="2">
        <v>7406.0</v>
      </c>
      <c r="T812" s="2">
        <v>5403.0</v>
      </c>
      <c r="U812" s="2">
        <v>7002.0</v>
      </c>
      <c r="V812" s="2">
        <v>404.0</v>
      </c>
      <c r="W812" s="2">
        <v>5807.0</v>
      </c>
    </row>
    <row r="813" ht="15.0" customHeight="1">
      <c r="A813" s="2">
        <v>2025.0</v>
      </c>
      <c r="B813" s="2" t="s">
        <v>51</v>
      </c>
      <c r="C813" s="2">
        <v>7.0</v>
      </c>
      <c r="D813" s="2" t="s">
        <v>69</v>
      </c>
      <c r="E813" s="2" t="s">
        <v>63</v>
      </c>
      <c r="F813" s="2" t="s">
        <v>26</v>
      </c>
      <c r="G813" s="2" t="s">
        <v>39</v>
      </c>
      <c r="H813" s="2" t="s">
        <v>40</v>
      </c>
      <c r="I813" s="2" t="s">
        <v>30</v>
      </c>
      <c r="J813" s="2">
        <v>2202.0</v>
      </c>
      <c r="K813" s="2">
        <v>1086.0</v>
      </c>
      <c r="L813" s="2">
        <v>506.0</v>
      </c>
      <c r="M813" s="2">
        <v>477.0</v>
      </c>
      <c r="N813" s="2">
        <v>178.0</v>
      </c>
      <c r="O813" s="2">
        <v>215.0</v>
      </c>
      <c r="P813" s="2">
        <v>128.0</v>
      </c>
      <c r="Q813" s="2">
        <v>0.0</v>
      </c>
      <c r="R813" s="2">
        <v>1866.0</v>
      </c>
      <c r="S813" s="2">
        <v>1547.0</v>
      </c>
      <c r="T813" s="2">
        <v>319.0</v>
      </c>
      <c r="U813" s="2">
        <v>1537.0</v>
      </c>
      <c r="V813" s="2">
        <v>11.0</v>
      </c>
      <c r="W813" s="2">
        <v>330.0</v>
      </c>
    </row>
    <row r="814" ht="15.0" customHeight="1">
      <c r="A814" s="2">
        <v>2025.0</v>
      </c>
      <c r="B814" s="2" t="s">
        <v>51</v>
      </c>
      <c r="C814" s="2">
        <v>7.0</v>
      </c>
      <c r="D814" s="2" t="s">
        <v>69</v>
      </c>
      <c r="E814" s="2" t="s">
        <v>63</v>
      </c>
      <c r="F814" s="2" t="s">
        <v>26</v>
      </c>
      <c r="G814" s="2" t="s">
        <v>39</v>
      </c>
      <c r="H814" s="2" t="s">
        <v>40</v>
      </c>
      <c r="I814" s="2" t="s">
        <v>31</v>
      </c>
      <c r="J814" s="2">
        <v>2848.0</v>
      </c>
      <c r="K814" s="2">
        <v>1737.0</v>
      </c>
      <c r="L814" s="2">
        <v>853.0</v>
      </c>
      <c r="M814" s="2">
        <v>737.0</v>
      </c>
      <c r="N814" s="2">
        <v>288.0</v>
      </c>
      <c r="O814" s="2">
        <v>375.0</v>
      </c>
      <c r="P814" s="2">
        <v>209.0</v>
      </c>
      <c r="Q814" s="2">
        <v>0.0</v>
      </c>
      <c r="R814" s="2">
        <v>3223.0</v>
      </c>
      <c r="S814" s="2">
        <v>6.0</v>
      </c>
      <c r="T814" s="2">
        <v>3217.0</v>
      </c>
      <c r="U814" s="2">
        <v>6.0</v>
      </c>
      <c r="V814" s="2">
        <v>0.0</v>
      </c>
      <c r="W814" s="2">
        <v>3217.0</v>
      </c>
    </row>
    <row r="815" ht="15.0" customHeight="1">
      <c r="A815" s="2">
        <v>2025.0</v>
      </c>
      <c r="B815" s="2" t="s">
        <v>51</v>
      </c>
      <c r="C815" s="2">
        <v>7.0</v>
      </c>
      <c r="D815" s="2" t="s">
        <v>69</v>
      </c>
      <c r="E815" s="2" t="s">
        <v>63</v>
      </c>
      <c r="F815" s="2" t="s">
        <v>26</v>
      </c>
      <c r="G815" s="2" t="s">
        <v>41</v>
      </c>
      <c r="H815" s="2" t="s">
        <v>42</v>
      </c>
      <c r="I815" s="2" t="s">
        <v>29</v>
      </c>
      <c r="J815" s="2">
        <v>16873.0</v>
      </c>
      <c r="K815" s="2">
        <v>10187.0</v>
      </c>
      <c r="L815" s="2">
        <v>6051.0</v>
      </c>
      <c r="M815" s="2">
        <v>5711.0</v>
      </c>
      <c r="N815" s="2">
        <v>2902.0</v>
      </c>
      <c r="O815" s="2">
        <v>3617.0</v>
      </c>
      <c r="P815" s="2">
        <v>2735.0</v>
      </c>
      <c r="Q815" s="2">
        <v>4.0</v>
      </c>
      <c r="R815" s="2">
        <v>22358.0</v>
      </c>
      <c r="S815" s="2">
        <v>12185.0</v>
      </c>
      <c r="T815" s="2">
        <v>10173.0</v>
      </c>
      <c r="U815" s="2">
        <v>11841.0</v>
      </c>
      <c r="V815" s="2">
        <v>344.0</v>
      </c>
      <c r="W815" s="2">
        <v>10517.0</v>
      </c>
    </row>
    <row r="816" ht="15.0" customHeight="1">
      <c r="A816" s="2">
        <v>2025.0</v>
      </c>
      <c r="B816" s="2" t="s">
        <v>51</v>
      </c>
      <c r="C816" s="2">
        <v>7.0</v>
      </c>
      <c r="D816" s="2" t="s">
        <v>69</v>
      </c>
      <c r="E816" s="2" t="s">
        <v>63</v>
      </c>
      <c r="F816" s="2" t="s">
        <v>26</v>
      </c>
      <c r="G816" s="2" t="s">
        <v>41</v>
      </c>
      <c r="H816" s="2" t="s">
        <v>42</v>
      </c>
      <c r="I816" s="2" t="s">
        <v>30</v>
      </c>
      <c r="J816" s="2">
        <v>19354.0</v>
      </c>
      <c r="K816" s="2">
        <v>8887.0</v>
      </c>
      <c r="L816" s="2">
        <v>4984.0</v>
      </c>
      <c r="M816" s="2">
        <v>4696.0</v>
      </c>
      <c r="N816" s="2">
        <v>2208.0</v>
      </c>
      <c r="O816" s="2">
        <v>2587.0</v>
      </c>
      <c r="P816" s="2">
        <v>1923.0</v>
      </c>
      <c r="Q816" s="2">
        <v>3.0</v>
      </c>
      <c r="R816" s="2">
        <v>14704.0</v>
      </c>
      <c r="S816" s="2">
        <v>15601.0</v>
      </c>
      <c r="T816" s="2">
        <v>-897.0</v>
      </c>
      <c r="U816" s="2">
        <v>15601.0</v>
      </c>
      <c r="V816" s="2">
        <v>0.0</v>
      </c>
      <c r="W816" s="2">
        <v>-897.0</v>
      </c>
    </row>
    <row r="817" ht="15.0" customHeight="1">
      <c r="A817" s="2">
        <v>2025.0</v>
      </c>
      <c r="B817" s="2" t="s">
        <v>51</v>
      </c>
      <c r="C817" s="2">
        <v>7.0</v>
      </c>
      <c r="D817" s="2" t="s">
        <v>69</v>
      </c>
      <c r="E817" s="2" t="s">
        <v>63</v>
      </c>
      <c r="F817" s="2" t="s">
        <v>26</v>
      </c>
      <c r="G817" s="2" t="s">
        <v>41</v>
      </c>
      <c r="H817" s="2" t="s">
        <v>42</v>
      </c>
      <c r="I817" s="2" t="s">
        <v>31</v>
      </c>
      <c r="J817" s="2">
        <v>15313.0</v>
      </c>
      <c r="K817" s="2">
        <v>8700.0</v>
      </c>
      <c r="L817" s="2">
        <v>8478.0</v>
      </c>
      <c r="M817" s="2">
        <v>5844.0</v>
      </c>
      <c r="N817" s="2">
        <v>2760.0</v>
      </c>
      <c r="O817" s="2">
        <v>3365.0</v>
      </c>
      <c r="P817" s="2">
        <v>2565.0</v>
      </c>
      <c r="Q817" s="2">
        <v>1.0</v>
      </c>
      <c r="R817" s="2">
        <v>20388.0</v>
      </c>
      <c r="S817" s="2">
        <v>352.0</v>
      </c>
      <c r="T817" s="2">
        <v>20036.0</v>
      </c>
      <c r="U817" s="2">
        <v>352.0</v>
      </c>
      <c r="V817" s="2">
        <v>0.0</v>
      </c>
      <c r="W817" s="2">
        <v>20036.0</v>
      </c>
    </row>
    <row r="818" ht="15.0" customHeight="1">
      <c r="A818" s="2">
        <v>2025.0</v>
      </c>
      <c r="B818" s="2" t="s">
        <v>51</v>
      </c>
      <c r="C818" s="2">
        <v>7.0</v>
      </c>
      <c r="D818" s="2" t="s">
        <v>69</v>
      </c>
      <c r="E818" s="2" t="s">
        <v>63</v>
      </c>
      <c r="F818" s="2" t="s">
        <v>26</v>
      </c>
      <c r="G818" s="2" t="s">
        <v>43</v>
      </c>
      <c r="H818" s="2" t="s">
        <v>42</v>
      </c>
      <c r="I818" s="2" t="s">
        <v>29</v>
      </c>
      <c r="J818" s="2">
        <v>3016.0</v>
      </c>
      <c r="K818" s="2">
        <v>1327.0</v>
      </c>
      <c r="L818" s="2">
        <v>723.0</v>
      </c>
      <c r="M818" s="2">
        <v>677.0</v>
      </c>
      <c r="N818" s="2">
        <v>292.0</v>
      </c>
      <c r="O818" s="2">
        <v>666.0</v>
      </c>
      <c r="P818" s="2">
        <v>456.0</v>
      </c>
      <c r="Q818" s="2">
        <v>1.0</v>
      </c>
      <c r="R818" s="2">
        <v>15096.0</v>
      </c>
      <c r="S818" s="2">
        <v>9174.0</v>
      </c>
      <c r="T818" s="2">
        <v>5922.0</v>
      </c>
      <c r="U818" s="2">
        <v>8778.0</v>
      </c>
      <c r="V818" s="2">
        <v>395.0</v>
      </c>
      <c r="W818" s="2">
        <v>6317.0</v>
      </c>
    </row>
    <row r="819" ht="15.0" customHeight="1">
      <c r="A819" s="2">
        <v>2025.0</v>
      </c>
      <c r="B819" s="2" t="s">
        <v>51</v>
      </c>
      <c r="C819" s="2">
        <v>7.0</v>
      </c>
      <c r="D819" s="2" t="s">
        <v>69</v>
      </c>
      <c r="E819" s="2" t="s">
        <v>63</v>
      </c>
      <c r="F819" s="2" t="s">
        <v>26</v>
      </c>
      <c r="G819" s="2" t="s">
        <v>43</v>
      </c>
      <c r="H819" s="2" t="s">
        <v>42</v>
      </c>
      <c r="I819" s="2" t="s">
        <v>30</v>
      </c>
      <c r="J819" s="2">
        <v>2002.0</v>
      </c>
      <c r="K819" s="2">
        <v>550.0</v>
      </c>
      <c r="L819" s="2">
        <v>304.0</v>
      </c>
      <c r="M819" s="2">
        <v>288.0</v>
      </c>
      <c r="N819" s="2">
        <v>49.0</v>
      </c>
      <c r="O819" s="2">
        <v>110.0</v>
      </c>
      <c r="P819" s="2">
        <v>76.0</v>
      </c>
      <c r="Q819" s="2">
        <v>2.0</v>
      </c>
      <c r="R819" s="2">
        <v>2619.0</v>
      </c>
      <c r="S819" s="2">
        <v>2987.0</v>
      </c>
      <c r="T819" s="2">
        <v>-368.0</v>
      </c>
      <c r="U819" s="2">
        <v>2987.0</v>
      </c>
      <c r="V819" s="2">
        <v>0.0</v>
      </c>
      <c r="W819" s="2">
        <v>-368.0</v>
      </c>
    </row>
    <row r="820" ht="15.0" customHeight="1">
      <c r="A820" s="2">
        <v>2025.0</v>
      </c>
      <c r="B820" s="2" t="s">
        <v>51</v>
      </c>
      <c r="C820" s="2">
        <v>7.0</v>
      </c>
      <c r="D820" s="2" t="s">
        <v>69</v>
      </c>
      <c r="E820" s="2" t="s">
        <v>63</v>
      </c>
      <c r="F820" s="2" t="s">
        <v>26</v>
      </c>
      <c r="G820" s="2" t="s">
        <v>43</v>
      </c>
      <c r="H820" s="2" t="s">
        <v>42</v>
      </c>
      <c r="I820" s="2" t="s">
        <v>31</v>
      </c>
      <c r="J820" s="2">
        <v>468.0</v>
      </c>
      <c r="K820" s="2">
        <v>278.0</v>
      </c>
      <c r="L820" s="2">
        <v>153.0</v>
      </c>
      <c r="M820" s="2">
        <v>123.0</v>
      </c>
      <c r="N820" s="2">
        <v>37.0</v>
      </c>
      <c r="O820" s="2">
        <v>82.0</v>
      </c>
      <c r="P820" s="2">
        <v>54.0</v>
      </c>
      <c r="Q820" s="2">
        <v>0.0</v>
      </c>
      <c r="R820" s="2">
        <v>1772.0</v>
      </c>
      <c r="S820" s="2">
        <v>0.0</v>
      </c>
      <c r="T820" s="2">
        <v>1772.0</v>
      </c>
      <c r="U820" s="2">
        <v>0.0</v>
      </c>
      <c r="V820" s="2">
        <v>0.0</v>
      </c>
      <c r="W820" s="2">
        <v>1772.0</v>
      </c>
    </row>
    <row r="821" ht="15.0" customHeight="1">
      <c r="A821" s="2">
        <v>2025.0</v>
      </c>
      <c r="B821" s="2" t="s">
        <v>51</v>
      </c>
      <c r="C821" s="2">
        <v>7.0</v>
      </c>
      <c r="D821" s="2" t="s">
        <v>69</v>
      </c>
      <c r="E821" s="2" t="s">
        <v>63</v>
      </c>
      <c r="F821" s="2" t="s">
        <v>26</v>
      </c>
      <c r="G821" s="2" t="s">
        <v>44</v>
      </c>
      <c r="H821" s="2" t="s">
        <v>45</v>
      </c>
      <c r="I821" s="2" t="s">
        <v>29</v>
      </c>
      <c r="J821" s="2">
        <v>6995.0</v>
      </c>
      <c r="K821" s="2">
        <v>3720.0</v>
      </c>
      <c r="L821" s="2">
        <v>1148.0</v>
      </c>
      <c r="M821" s="2">
        <v>1089.0</v>
      </c>
      <c r="N821" s="2">
        <v>973.0</v>
      </c>
      <c r="O821" s="2">
        <v>1898.0</v>
      </c>
      <c r="P821" s="2">
        <v>1508.0</v>
      </c>
      <c r="Q821" s="2">
        <v>788.0</v>
      </c>
      <c r="R821" s="2">
        <v>53594.0</v>
      </c>
      <c r="S821" s="2">
        <v>38604.0</v>
      </c>
      <c r="T821" s="2">
        <v>14990.0</v>
      </c>
      <c r="U821" s="2">
        <v>37695.0</v>
      </c>
      <c r="V821" s="2">
        <v>909.0</v>
      </c>
      <c r="W821" s="2">
        <v>15899.0</v>
      </c>
    </row>
    <row r="822" ht="15.0" customHeight="1">
      <c r="A822" s="2">
        <v>2025.0</v>
      </c>
      <c r="B822" s="2" t="s">
        <v>51</v>
      </c>
      <c r="C822" s="2">
        <v>7.0</v>
      </c>
      <c r="D822" s="2" t="s">
        <v>69</v>
      </c>
      <c r="E822" s="2" t="s">
        <v>63</v>
      </c>
      <c r="F822" s="2" t="s">
        <v>26</v>
      </c>
      <c r="G822" s="2" t="s">
        <v>44</v>
      </c>
      <c r="H822" s="2" t="s">
        <v>45</v>
      </c>
      <c r="I822" s="2" t="s">
        <v>30</v>
      </c>
      <c r="J822" s="2">
        <v>3513.0</v>
      </c>
      <c r="K822" s="2">
        <v>1309.0</v>
      </c>
      <c r="L822" s="2">
        <v>396.0</v>
      </c>
      <c r="M822" s="2">
        <v>376.0</v>
      </c>
      <c r="N822" s="2">
        <v>311.0</v>
      </c>
      <c r="O822" s="2">
        <v>556.0</v>
      </c>
      <c r="P822" s="2">
        <v>405.0</v>
      </c>
      <c r="Q822" s="2">
        <v>175.0</v>
      </c>
      <c r="R822" s="2">
        <v>13305.0</v>
      </c>
      <c r="S822" s="2">
        <v>8974.0</v>
      </c>
      <c r="T822" s="2">
        <v>4333.0</v>
      </c>
      <c r="U822" s="2">
        <v>8969.0</v>
      </c>
      <c r="V822" s="2">
        <v>5.0</v>
      </c>
      <c r="W822" s="2">
        <v>4337.0</v>
      </c>
    </row>
    <row r="823" ht="15.0" customHeight="1">
      <c r="A823" s="2">
        <v>2025.0</v>
      </c>
      <c r="B823" s="2" t="s">
        <v>51</v>
      </c>
      <c r="C823" s="2">
        <v>7.0</v>
      </c>
      <c r="D823" s="2" t="s">
        <v>69</v>
      </c>
      <c r="E823" s="2" t="s">
        <v>63</v>
      </c>
      <c r="F823" s="2" t="s">
        <v>26</v>
      </c>
      <c r="G823" s="2" t="s">
        <v>44</v>
      </c>
      <c r="H823" s="2" t="s">
        <v>45</v>
      </c>
      <c r="I823" s="2" t="s">
        <v>31</v>
      </c>
      <c r="J823" s="2">
        <v>1277.0</v>
      </c>
      <c r="K823" s="2">
        <v>507.0</v>
      </c>
      <c r="L823" s="2">
        <v>170.0</v>
      </c>
      <c r="M823" s="2">
        <v>135.0</v>
      </c>
      <c r="N823" s="2">
        <v>116.0</v>
      </c>
      <c r="O823" s="2">
        <v>198.0</v>
      </c>
      <c r="P823" s="2">
        <v>139.0</v>
      </c>
      <c r="Q823" s="2">
        <v>75.0</v>
      </c>
      <c r="R823" s="2">
        <v>4878.0</v>
      </c>
      <c r="S823" s="2">
        <v>190.0</v>
      </c>
      <c r="T823" s="2">
        <v>4688.0</v>
      </c>
      <c r="U823" s="2">
        <v>190.0</v>
      </c>
      <c r="V823" s="2">
        <v>0.0</v>
      </c>
      <c r="W823" s="2">
        <v>4688.0</v>
      </c>
    </row>
    <row r="824" ht="15.0" customHeight="1">
      <c r="A824" s="2">
        <v>2025.0</v>
      </c>
      <c r="B824" s="2" t="s">
        <v>51</v>
      </c>
      <c r="C824" s="2">
        <v>7.0</v>
      </c>
      <c r="D824" s="2" t="s">
        <v>69</v>
      </c>
      <c r="E824" s="2" t="s">
        <v>63</v>
      </c>
      <c r="F824" s="2" t="s">
        <v>26</v>
      </c>
      <c r="G824" s="2" t="s">
        <v>46</v>
      </c>
      <c r="H824" s="2" t="s">
        <v>47</v>
      </c>
      <c r="I824" s="2" t="s">
        <v>29</v>
      </c>
      <c r="J824" s="2">
        <v>4723.0</v>
      </c>
      <c r="K824" s="2">
        <v>2267.0</v>
      </c>
      <c r="L824" s="2">
        <v>937.0</v>
      </c>
      <c r="M824" s="2">
        <v>899.0</v>
      </c>
      <c r="N824" s="2">
        <v>871.0</v>
      </c>
      <c r="O824" s="2">
        <v>1799.0</v>
      </c>
      <c r="P824" s="2">
        <v>1021.0</v>
      </c>
      <c r="Q824" s="2">
        <v>215.0</v>
      </c>
      <c r="R824" s="2">
        <v>38654.0</v>
      </c>
      <c r="S824" s="2">
        <v>25806.0</v>
      </c>
      <c r="T824" s="2">
        <v>12849.0</v>
      </c>
      <c r="U824" s="2">
        <v>25121.0</v>
      </c>
      <c r="V824" s="2">
        <v>684.0</v>
      </c>
      <c r="W824" s="2">
        <v>13533.0</v>
      </c>
    </row>
    <row r="825" ht="15.0" customHeight="1">
      <c r="A825" s="2">
        <v>2025.0</v>
      </c>
      <c r="B825" s="2" t="s">
        <v>51</v>
      </c>
      <c r="C825" s="2">
        <v>7.0</v>
      </c>
      <c r="D825" s="2" t="s">
        <v>69</v>
      </c>
      <c r="E825" s="2" t="s">
        <v>63</v>
      </c>
      <c r="F825" s="2" t="s">
        <v>26</v>
      </c>
      <c r="G825" s="2" t="s">
        <v>46</v>
      </c>
      <c r="H825" s="2" t="s">
        <v>47</v>
      </c>
      <c r="I825" s="2" t="s">
        <v>30</v>
      </c>
      <c r="J825" s="2">
        <v>3092.0</v>
      </c>
      <c r="K825" s="2">
        <v>414.0</v>
      </c>
      <c r="L825" s="2">
        <v>194.0</v>
      </c>
      <c r="M825" s="2">
        <v>180.0</v>
      </c>
      <c r="N825" s="2">
        <v>173.0</v>
      </c>
      <c r="O825" s="2">
        <v>360.0</v>
      </c>
      <c r="P825" s="2">
        <v>220.0</v>
      </c>
      <c r="Q825" s="2">
        <v>47.0</v>
      </c>
      <c r="R825" s="2">
        <v>9047.0</v>
      </c>
      <c r="S825" s="2">
        <v>3806.0</v>
      </c>
      <c r="T825" s="2">
        <v>5241.0</v>
      </c>
      <c r="U825" s="2">
        <v>3798.0</v>
      </c>
      <c r="V825" s="2">
        <v>8.0</v>
      </c>
      <c r="W825" s="2">
        <v>5249.0</v>
      </c>
    </row>
    <row r="826" ht="15.0" customHeight="1">
      <c r="A826" s="2">
        <v>2025.0</v>
      </c>
      <c r="B826" s="2" t="s">
        <v>51</v>
      </c>
      <c r="C826" s="2">
        <v>7.0</v>
      </c>
      <c r="D826" s="2" t="s">
        <v>69</v>
      </c>
      <c r="E826" s="2" t="s">
        <v>63</v>
      </c>
      <c r="F826" s="2" t="s">
        <v>26</v>
      </c>
      <c r="G826" s="2" t="s">
        <v>46</v>
      </c>
      <c r="H826" s="2" t="s">
        <v>47</v>
      </c>
      <c r="I826" s="2" t="s">
        <v>31</v>
      </c>
      <c r="J826" s="2">
        <v>1881.0</v>
      </c>
      <c r="K826" s="2">
        <v>894.0</v>
      </c>
      <c r="L826" s="2">
        <v>289.0</v>
      </c>
      <c r="M826" s="2">
        <v>135.0</v>
      </c>
      <c r="N826" s="2">
        <v>122.0</v>
      </c>
      <c r="O826" s="2">
        <v>286.0</v>
      </c>
      <c r="P826" s="2">
        <v>168.0</v>
      </c>
      <c r="Q826" s="2">
        <v>31.0</v>
      </c>
      <c r="R826" s="2">
        <v>7092.0</v>
      </c>
      <c r="S826" s="2">
        <v>325.0</v>
      </c>
      <c r="T826" s="2">
        <v>6767.0</v>
      </c>
      <c r="U826" s="2">
        <v>325.0</v>
      </c>
      <c r="V826" s="2">
        <v>0.0</v>
      </c>
      <c r="W826" s="2">
        <v>6767.0</v>
      </c>
    </row>
    <row r="827" ht="15.0" customHeight="1">
      <c r="A827" s="2">
        <v>2025.0</v>
      </c>
      <c r="B827" s="2" t="s">
        <v>51</v>
      </c>
      <c r="C827" s="2">
        <v>7.0</v>
      </c>
      <c r="D827" s="2" t="s">
        <v>69</v>
      </c>
      <c r="E827" s="2" t="s">
        <v>63</v>
      </c>
      <c r="F827" s="2" t="s">
        <v>48</v>
      </c>
      <c r="G827" s="2" t="s">
        <v>27</v>
      </c>
      <c r="H827" s="2" t="s">
        <v>28</v>
      </c>
      <c r="I827" s="2" t="s">
        <v>29</v>
      </c>
      <c r="J827" s="2">
        <v>4106.0</v>
      </c>
      <c r="K827" s="2">
        <v>2110.0</v>
      </c>
      <c r="L827" s="2">
        <v>799.0</v>
      </c>
      <c r="M827" s="2">
        <v>763.0</v>
      </c>
      <c r="N827" s="2">
        <v>505.0</v>
      </c>
      <c r="O827" s="2">
        <v>815.0</v>
      </c>
      <c r="P827" s="2">
        <v>582.0</v>
      </c>
      <c r="Q827" s="2">
        <v>0.0</v>
      </c>
      <c r="R827" s="2">
        <v>16999.0</v>
      </c>
      <c r="S827" s="2">
        <v>12204.0</v>
      </c>
      <c r="T827" s="2">
        <v>4795.0</v>
      </c>
      <c r="U827" s="2">
        <v>11483.0</v>
      </c>
      <c r="V827" s="2">
        <v>720.0</v>
      </c>
      <c r="W827" s="2">
        <v>5515.0</v>
      </c>
    </row>
    <row r="828" ht="15.0" customHeight="1">
      <c r="A828" s="2">
        <v>2025.0</v>
      </c>
      <c r="B828" s="2" t="s">
        <v>51</v>
      </c>
      <c r="C828" s="2">
        <v>7.0</v>
      </c>
      <c r="D828" s="2" t="s">
        <v>69</v>
      </c>
      <c r="E828" s="2" t="s">
        <v>63</v>
      </c>
      <c r="F828" s="2" t="s">
        <v>48</v>
      </c>
      <c r="G828" s="2" t="s">
        <v>27</v>
      </c>
      <c r="H828" s="2" t="s">
        <v>28</v>
      </c>
      <c r="I828" s="2" t="s">
        <v>30</v>
      </c>
      <c r="J828" s="2">
        <v>2364.0</v>
      </c>
      <c r="K828" s="2">
        <v>828.0</v>
      </c>
      <c r="L828" s="2">
        <v>369.0</v>
      </c>
      <c r="M828" s="2">
        <v>336.0</v>
      </c>
      <c r="N828" s="2">
        <v>213.0</v>
      </c>
      <c r="O828" s="2">
        <v>305.0</v>
      </c>
      <c r="P828" s="2">
        <v>206.0</v>
      </c>
      <c r="Q828" s="2">
        <v>0.0</v>
      </c>
      <c r="R828" s="2">
        <v>6215.0</v>
      </c>
      <c r="S828" s="2">
        <v>3813.0</v>
      </c>
      <c r="T828" s="2">
        <v>2403.0</v>
      </c>
      <c r="U828" s="2">
        <v>3813.0</v>
      </c>
      <c r="V828" s="2">
        <v>0.0</v>
      </c>
      <c r="W828" s="2">
        <v>2403.0</v>
      </c>
    </row>
    <row r="829" ht="15.0" customHeight="1">
      <c r="A829" s="2">
        <v>2025.0</v>
      </c>
      <c r="B829" s="2" t="s">
        <v>51</v>
      </c>
      <c r="C829" s="2">
        <v>7.0</v>
      </c>
      <c r="D829" s="2" t="s">
        <v>69</v>
      </c>
      <c r="E829" s="2" t="s">
        <v>63</v>
      </c>
      <c r="F829" s="2" t="s">
        <v>48</v>
      </c>
      <c r="G829" s="2" t="s">
        <v>27</v>
      </c>
      <c r="H829" s="2" t="s">
        <v>28</v>
      </c>
      <c r="I829" s="2" t="s">
        <v>31</v>
      </c>
      <c r="J829" s="2">
        <v>248.0</v>
      </c>
      <c r="K829" s="2">
        <v>121.0</v>
      </c>
      <c r="L829" s="2">
        <v>148.0</v>
      </c>
      <c r="M829" s="2">
        <v>123.0</v>
      </c>
      <c r="N829" s="2">
        <v>51.0</v>
      </c>
      <c r="O829" s="2">
        <v>88.0</v>
      </c>
      <c r="P829" s="2">
        <v>56.0</v>
      </c>
      <c r="Q829" s="2">
        <v>0.0</v>
      </c>
      <c r="R829" s="2">
        <v>1691.0</v>
      </c>
      <c r="S829" s="2">
        <v>462.0</v>
      </c>
      <c r="T829" s="2">
        <v>1229.0</v>
      </c>
      <c r="U829" s="2">
        <v>462.0</v>
      </c>
      <c r="V829" s="2">
        <v>0.0</v>
      </c>
      <c r="W829" s="2">
        <v>1229.0</v>
      </c>
    </row>
    <row r="830" ht="15.0" customHeight="1">
      <c r="A830" s="2">
        <v>2025.0</v>
      </c>
      <c r="B830" s="2" t="s">
        <v>51</v>
      </c>
      <c r="C830" s="2">
        <v>7.0</v>
      </c>
      <c r="D830" s="2" t="s">
        <v>69</v>
      </c>
      <c r="E830" s="2" t="s">
        <v>63</v>
      </c>
      <c r="F830" s="2" t="s">
        <v>48</v>
      </c>
      <c r="G830" s="2" t="s">
        <v>32</v>
      </c>
      <c r="H830" s="2" t="s">
        <v>28</v>
      </c>
      <c r="I830" s="2" t="s">
        <v>29</v>
      </c>
      <c r="J830" s="2">
        <v>817.0</v>
      </c>
      <c r="K830" s="2">
        <v>467.0</v>
      </c>
      <c r="L830" s="2">
        <v>265.0</v>
      </c>
      <c r="M830" s="2">
        <v>247.0</v>
      </c>
      <c r="N830" s="2">
        <v>64.0</v>
      </c>
      <c r="O830" s="2">
        <v>80.0</v>
      </c>
      <c r="P830" s="2">
        <v>63.0</v>
      </c>
      <c r="Q830" s="2">
        <v>0.0</v>
      </c>
      <c r="R830" s="2">
        <v>949.0</v>
      </c>
      <c r="S830" s="2">
        <v>745.0</v>
      </c>
      <c r="T830" s="2">
        <v>205.0</v>
      </c>
      <c r="U830" s="2">
        <v>745.0</v>
      </c>
      <c r="V830" s="2">
        <v>0.0</v>
      </c>
      <c r="W830" s="2">
        <v>205.0</v>
      </c>
    </row>
    <row r="831" ht="15.0" customHeight="1">
      <c r="A831" s="2">
        <v>2025.0</v>
      </c>
      <c r="B831" s="2" t="s">
        <v>51</v>
      </c>
      <c r="C831" s="2">
        <v>7.0</v>
      </c>
      <c r="D831" s="2" t="s">
        <v>69</v>
      </c>
      <c r="E831" s="2" t="s">
        <v>63</v>
      </c>
      <c r="F831" s="2" t="s">
        <v>48</v>
      </c>
      <c r="G831" s="2" t="s">
        <v>32</v>
      </c>
      <c r="H831" s="2" t="s">
        <v>28</v>
      </c>
      <c r="I831" s="2" t="s">
        <v>30</v>
      </c>
      <c r="J831" s="2">
        <v>2392.0</v>
      </c>
      <c r="K831" s="2">
        <v>890.0</v>
      </c>
      <c r="L831" s="2">
        <v>595.0</v>
      </c>
      <c r="M831" s="2">
        <v>569.0</v>
      </c>
      <c r="N831" s="2">
        <v>108.0</v>
      </c>
      <c r="O831" s="2">
        <v>131.0</v>
      </c>
      <c r="P831" s="2">
        <v>87.0</v>
      </c>
      <c r="Q831" s="2">
        <v>0.0</v>
      </c>
      <c r="R831" s="2">
        <v>1246.0</v>
      </c>
      <c r="S831" s="2">
        <v>1616.0</v>
      </c>
      <c r="T831" s="2">
        <v>-370.0</v>
      </c>
      <c r="U831" s="2">
        <v>1616.0</v>
      </c>
      <c r="V831" s="2">
        <v>0.0</v>
      </c>
      <c r="W831" s="2">
        <v>-370.0</v>
      </c>
    </row>
    <row r="832" ht="15.0" customHeight="1">
      <c r="A832" s="2">
        <v>2025.0</v>
      </c>
      <c r="B832" s="2" t="s">
        <v>51</v>
      </c>
      <c r="C832" s="2">
        <v>7.0</v>
      </c>
      <c r="D832" s="2" t="s">
        <v>69</v>
      </c>
      <c r="E832" s="2" t="s">
        <v>63</v>
      </c>
      <c r="F832" s="2" t="s">
        <v>48</v>
      </c>
      <c r="G832" s="2" t="s">
        <v>32</v>
      </c>
      <c r="H832" s="2" t="s">
        <v>28</v>
      </c>
      <c r="I832" s="2" t="s">
        <v>31</v>
      </c>
      <c r="J832" s="2">
        <v>1210.0</v>
      </c>
      <c r="K832" s="2">
        <v>653.0</v>
      </c>
      <c r="L832" s="2">
        <v>431.0</v>
      </c>
      <c r="M832" s="2">
        <v>392.0</v>
      </c>
      <c r="N832" s="2">
        <v>73.0</v>
      </c>
      <c r="O832" s="2">
        <v>94.0</v>
      </c>
      <c r="P832" s="2">
        <v>67.0</v>
      </c>
      <c r="Q832" s="2">
        <v>0.0</v>
      </c>
      <c r="R832" s="2">
        <v>1048.0</v>
      </c>
      <c r="S832" s="2">
        <v>0.0</v>
      </c>
      <c r="T832" s="2">
        <v>1048.0</v>
      </c>
      <c r="U832" s="2">
        <v>0.0</v>
      </c>
      <c r="V832" s="2">
        <v>0.0</v>
      </c>
      <c r="W832" s="2">
        <v>1048.0</v>
      </c>
    </row>
    <row r="833" ht="15.0" customHeight="1">
      <c r="A833" s="2">
        <v>2025.0</v>
      </c>
      <c r="B833" s="2" t="s">
        <v>51</v>
      </c>
      <c r="C833" s="2">
        <v>7.0</v>
      </c>
      <c r="D833" s="2" t="s">
        <v>69</v>
      </c>
      <c r="E833" s="2" t="s">
        <v>63</v>
      </c>
      <c r="F833" s="2" t="s">
        <v>48</v>
      </c>
      <c r="G833" s="2" t="s">
        <v>33</v>
      </c>
      <c r="H833" s="2" t="s">
        <v>28</v>
      </c>
      <c r="I833" s="2" t="s">
        <v>29</v>
      </c>
      <c r="J833" s="2">
        <v>1758.0</v>
      </c>
      <c r="K833" s="2">
        <v>909.0</v>
      </c>
      <c r="L833" s="2">
        <v>417.0</v>
      </c>
      <c r="M833" s="2">
        <v>390.0</v>
      </c>
      <c r="N833" s="2">
        <v>202.0</v>
      </c>
      <c r="O833" s="2">
        <v>246.0</v>
      </c>
      <c r="P833" s="2">
        <v>225.0</v>
      </c>
      <c r="Q833" s="2">
        <v>129.0</v>
      </c>
      <c r="R833" s="2">
        <v>6114.0</v>
      </c>
      <c r="S833" s="2">
        <v>4809.0</v>
      </c>
      <c r="T833" s="2">
        <v>1305.0</v>
      </c>
      <c r="U833" s="2">
        <v>4809.0</v>
      </c>
      <c r="V833" s="2">
        <v>0.0</v>
      </c>
      <c r="W833" s="2">
        <v>1305.0</v>
      </c>
    </row>
    <row r="834" ht="15.0" customHeight="1">
      <c r="A834" s="2">
        <v>2025.0</v>
      </c>
      <c r="B834" s="2" t="s">
        <v>51</v>
      </c>
      <c r="C834" s="2">
        <v>7.0</v>
      </c>
      <c r="D834" s="2" t="s">
        <v>69</v>
      </c>
      <c r="E834" s="2" t="s">
        <v>63</v>
      </c>
      <c r="F834" s="2" t="s">
        <v>48</v>
      </c>
      <c r="G834" s="2" t="s">
        <v>33</v>
      </c>
      <c r="H834" s="2" t="s">
        <v>28</v>
      </c>
      <c r="I834" s="2" t="s">
        <v>30</v>
      </c>
      <c r="J834" s="2">
        <v>559.0</v>
      </c>
      <c r="K834" s="2">
        <v>235.0</v>
      </c>
      <c r="L834" s="2">
        <v>84.0</v>
      </c>
      <c r="M834" s="2">
        <v>80.0</v>
      </c>
      <c r="N834" s="2">
        <v>24.0</v>
      </c>
      <c r="O834" s="2">
        <v>29.0</v>
      </c>
      <c r="P834" s="2">
        <v>28.0</v>
      </c>
      <c r="Q834" s="2">
        <v>12.0</v>
      </c>
      <c r="R834" s="2">
        <v>694.0</v>
      </c>
      <c r="S834" s="2">
        <v>617.0</v>
      </c>
      <c r="T834" s="2">
        <v>77.0</v>
      </c>
      <c r="U834" s="2">
        <v>617.0</v>
      </c>
      <c r="V834" s="2">
        <v>0.0</v>
      </c>
      <c r="W834" s="2">
        <v>77.0</v>
      </c>
    </row>
    <row r="835" ht="15.0" customHeight="1">
      <c r="A835" s="2">
        <v>2025.0</v>
      </c>
      <c r="B835" s="2" t="s">
        <v>51</v>
      </c>
      <c r="C835" s="2">
        <v>7.0</v>
      </c>
      <c r="D835" s="2" t="s">
        <v>69</v>
      </c>
      <c r="E835" s="2" t="s">
        <v>63</v>
      </c>
      <c r="F835" s="2" t="s">
        <v>48</v>
      </c>
      <c r="G835" s="2" t="s">
        <v>33</v>
      </c>
      <c r="H835" s="2" t="s">
        <v>28</v>
      </c>
      <c r="I835" s="2" t="s">
        <v>31</v>
      </c>
      <c r="J835" s="2">
        <v>115.0</v>
      </c>
      <c r="K835" s="2">
        <v>29.0</v>
      </c>
      <c r="L835" s="2">
        <v>14.0</v>
      </c>
      <c r="M835" s="2">
        <v>11.0</v>
      </c>
      <c r="N835" s="2">
        <v>5.0</v>
      </c>
      <c r="O835" s="2">
        <v>6.0</v>
      </c>
      <c r="P835" s="2">
        <v>4.0</v>
      </c>
      <c r="Q835" s="2">
        <v>1.0</v>
      </c>
      <c r="R835" s="2">
        <v>97.0</v>
      </c>
      <c r="S835" s="2">
        <v>0.0</v>
      </c>
      <c r="T835" s="2">
        <v>97.0</v>
      </c>
      <c r="U835" s="2">
        <v>0.0</v>
      </c>
      <c r="V835" s="2">
        <v>0.0</v>
      </c>
      <c r="W835" s="2">
        <v>97.0</v>
      </c>
    </row>
    <row r="836" ht="15.0" customHeight="1">
      <c r="A836" s="2">
        <v>2025.0</v>
      </c>
      <c r="B836" s="2" t="s">
        <v>51</v>
      </c>
      <c r="C836" s="2">
        <v>7.0</v>
      </c>
      <c r="D836" s="2" t="s">
        <v>69</v>
      </c>
      <c r="E836" s="2" t="s">
        <v>63</v>
      </c>
      <c r="F836" s="2" t="s">
        <v>48</v>
      </c>
      <c r="G836" s="2" t="s">
        <v>34</v>
      </c>
      <c r="H836" s="2" t="s">
        <v>35</v>
      </c>
      <c r="I836" s="2" t="s">
        <v>29</v>
      </c>
      <c r="J836" s="2">
        <v>27419.0</v>
      </c>
      <c r="K836" s="2">
        <v>17330.0</v>
      </c>
      <c r="L836" s="2">
        <v>7832.0</v>
      </c>
      <c r="M836" s="2">
        <v>7453.0</v>
      </c>
      <c r="N836" s="2">
        <v>3478.0</v>
      </c>
      <c r="O836" s="2">
        <v>4910.0</v>
      </c>
      <c r="P836" s="2">
        <v>3759.0</v>
      </c>
      <c r="Q836" s="2">
        <v>0.0</v>
      </c>
      <c r="R836" s="2">
        <v>48875.0</v>
      </c>
      <c r="S836" s="2">
        <v>31304.0</v>
      </c>
      <c r="T836" s="2">
        <v>17571.0</v>
      </c>
      <c r="U836" s="2">
        <v>29838.0</v>
      </c>
      <c r="V836" s="2">
        <v>1466.0</v>
      </c>
      <c r="W836" s="2">
        <v>19037.0</v>
      </c>
    </row>
    <row r="837" ht="15.0" customHeight="1">
      <c r="A837" s="2">
        <v>2025.0</v>
      </c>
      <c r="B837" s="2" t="s">
        <v>51</v>
      </c>
      <c r="C837" s="2">
        <v>7.0</v>
      </c>
      <c r="D837" s="2" t="s">
        <v>69</v>
      </c>
      <c r="E837" s="2" t="s">
        <v>63</v>
      </c>
      <c r="F837" s="2" t="s">
        <v>48</v>
      </c>
      <c r="G837" s="2" t="s">
        <v>34</v>
      </c>
      <c r="H837" s="2" t="s">
        <v>35</v>
      </c>
      <c r="I837" s="2" t="s">
        <v>30</v>
      </c>
      <c r="J837" s="2">
        <v>18026.0</v>
      </c>
      <c r="K837" s="2">
        <v>9168.0</v>
      </c>
      <c r="L837" s="2">
        <v>3752.0</v>
      </c>
      <c r="M837" s="2">
        <v>3525.0</v>
      </c>
      <c r="N837" s="2">
        <v>1451.0</v>
      </c>
      <c r="O837" s="2">
        <v>1898.0</v>
      </c>
      <c r="P837" s="2">
        <v>1443.0</v>
      </c>
      <c r="Q837" s="2">
        <v>0.0</v>
      </c>
      <c r="R837" s="2">
        <v>19375.0</v>
      </c>
      <c r="S837" s="2">
        <v>13086.0</v>
      </c>
      <c r="T837" s="2">
        <v>6290.0</v>
      </c>
      <c r="U837" s="2">
        <v>13086.0</v>
      </c>
      <c r="V837" s="2">
        <v>0.0</v>
      </c>
      <c r="W837" s="2">
        <v>6290.0</v>
      </c>
    </row>
    <row r="838" ht="15.0" customHeight="1">
      <c r="A838" s="2">
        <v>2025.0</v>
      </c>
      <c r="B838" s="2" t="s">
        <v>51</v>
      </c>
      <c r="C838" s="2">
        <v>7.0</v>
      </c>
      <c r="D838" s="2" t="s">
        <v>69</v>
      </c>
      <c r="E838" s="2" t="s">
        <v>63</v>
      </c>
      <c r="F838" s="2" t="s">
        <v>48</v>
      </c>
      <c r="G838" s="2" t="s">
        <v>34</v>
      </c>
      <c r="H838" s="2" t="s">
        <v>35</v>
      </c>
      <c r="I838" s="2" t="s">
        <v>31</v>
      </c>
      <c r="J838" s="2">
        <v>1465.0</v>
      </c>
      <c r="K838" s="2">
        <v>581.0</v>
      </c>
      <c r="L838" s="2">
        <v>443.0</v>
      </c>
      <c r="M838" s="2">
        <v>377.0</v>
      </c>
      <c r="N838" s="2">
        <v>163.0</v>
      </c>
      <c r="O838" s="2">
        <v>261.0</v>
      </c>
      <c r="P838" s="2">
        <v>197.0</v>
      </c>
      <c r="Q838" s="2">
        <v>0.0</v>
      </c>
      <c r="R838" s="2">
        <v>2732.0</v>
      </c>
      <c r="S838" s="2">
        <v>0.0</v>
      </c>
      <c r="T838" s="2">
        <v>2732.0</v>
      </c>
      <c r="U838" s="2">
        <v>0.0</v>
      </c>
      <c r="V838" s="2">
        <v>0.0</v>
      </c>
      <c r="W838" s="2">
        <v>2732.0</v>
      </c>
    </row>
    <row r="839" ht="15.0" customHeight="1">
      <c r="A839" s="2">
        <v>2025.0</v>
      </c>
      <c r="B839" s="2" t="s">
        <v>51</v>
      </c>
      <c r="C839" s="2">
        <v>7.0</v>
      </c>
      <c r="D839" s="2" t="s">
        <v>69</v>
      </c>
      <c r="E839" s="2" t="s">
        <v>63</v>
      </c>
      <c r="F839" s="2" t="s">
        <v>48</v>
      </c>
      <c r="G839" s="2" t="s">
        <v>36</v>
      </c>
      <c r="H839" s="2" t="s">
        <v>35</v>
      </c>
      <c r="I839" s="2" t="s">
        <v>29</v>
      </c>
      <c r="J839" s="2">
        <v>12021.0</v>
      </c>
      <c r="K839" s="2">
        <v>6933.0</v>
      </c>
      <c r="L839" s="2">
        <v>3487.0</v>
      </c>
      <c r="M839" s="2">
        <v>3376.0</v>
      </c>
      <c r="N839" s="2">
        <v>2582.0</v>
      </c>
      <c r="O839" s="2">
        <v>4608.0</v>
      </c>
      <c r="P839" s="2">
        <v>3893.0</v>
      </c>
      <c r="Q839" s="2">
        <v>0.0</v>
      </c>
      <c r="R839" s="2">
        <v>47385.0</v>
      </c>
      <c r="S839" s="2">
        <v>27117.0</v>
      </c>
      <c r="T839" s="2">
        <v>20268.0</v>
      </c>
      <c r="U839" s="2">
        <v>25355.0</v>
      </c>
      <c r="V839" s="2">
        <v>1761.0</v>
      </c>
      <c r="W839" s="2">
        <v>22029.0</v>
      </c>
    </row>
    <row r="840" ht="15.0" customHeight="1">
      <c r="A840" s="2">
        <v>2025.0</v>
      </c>
      <c r="B840" s="2" t="s">
        <v>51</v>
      </c>
      <c r="C840" s="2">
        <v>7.0</v>
      </c>
      <c r="D840" s="2" t="s">
        <v>69</v>
      </c>
      <c r="E840" s="2" t="s">
        <v>63</v>
      </c>
      <c r="F840" s="2" t="s">
        <v>48</v>
      </c>
      <c r="G840" s="2" t="s">
        <v>36</v>
      </c>
      <c r="H840" s="2" t="s">
        <v>35</v>
      </c>
      <c r="I840" s="2" t="s">
        <v>30</v>
      </c>
      <c r="J840" s="2">
        <v>6096.0</v>
      </c>
      <c r="K840" s="2">
        <v>2032.0</v>
      </c>
      <c r="L840" s="2">
        <v>1304.0</v>
      </c>
      <c r="M840" s="2">
        <v>1230.0</v>
      </c>
      <c r="N840" s="2">
        <v>893.0</v>
      </c>
      <c r="O840" s="2">
        <v>1574.0</v>
      </c>
      <c r="P840" s="2">
        <v>1302.0</v>
      </c>
      <c r="Q840" s="2">
        <v>0.0</v>
      </c>
      <c r="R840" s="2">
        <v>15592.0</v>
      </c>
      <c r="S840" s="2">
        <v>10258.0</v>
      </c>
      <c r="T840" s="2">
        <v>5334.0</v>
      </c>
      <c r="U840" s="2">
        <v>10258.0</v>
      </c>
      <c r="V840" s="2">
        <v>0.0</v>
      </c>
      <c r="W840" s="2">
        <v>5334.0</v>
      </c>
    </row>
    <row r="841" ht="15.0" customHeight="1">
      <c r="A841" s="2">
        <v>2025.0</v>
      </c>
      <c r="B841" s="2" t="s">
        <v>51</v>
      </c>
      <c r="C841" s="2">
        <v>7.0</v>
      </c>
      <c r="D841" s="2" t="s">
        <v>69</v>
      </c>
      <c r="E841" s="2" t="s">
        <v>63</v>
      </c>
      <c r="F841" s="2" t="s">
        <v>48</v>
      </c>
      <c r="G841" s="2" t="s">
        <v>36</v>
      </c>
      <c r="H841" s="2" t="s">
        <v>35</v>
      </c>
      <c r="I841" s="2" t="s">
        <v>31</v>
      </c>
      <c r="J841" s="2">
        <v>1199.0</v>
      </c>
      <c r="K841" s="2">
        <v>558.0</v>
      </c>
      <c r="L841" s="2">
        <v>384.0</v>
      </c>
      <c r="M841" s="2">
        <v>354.0</v>
      </c>
      <c r="N841" s="2">
        <v>272.0</v>
      </c>
      <c r="O841" s="2">
        <v>468.0</v>
      </c>
      <c r="P841" s="2">
        <v>394.0</v>
      </c>
      <c r="Q841" s="2">
        <v>0.0</v>
      </c>
      <c r="R841" s="2">
        <v>4888.0</v>
      </c>
      <c r="S841" s="2">
        <v>0.0</v>
      </c>
      <c r="T841" s="2">
        <v>4888.0</v>
      </c>
      <c r="U841" s="2">
        <v>0.0</v>
      </c>
      <c r="V841" s="2">
        <v>0.0</v>
      </c>
      <c r="W841" s="2">
        <v>4888.0</v>
      </c>
    </row>
    <row r="842" ht="15.0" customHeight="1">
      <c r="A842" s="2">
        <v>2025.0</v>
      </c>
      <c r="B842" s="2" t="s">
        <v>51</v>
      </c>
      <c r="C842" s="2">
        <v>7.0</v>
      </c>
      <c r="D842" s="2" t="s">
        <v>69</v>
      </c>
      <c r="E842" s="2" t="s">
        <v>63</v>
      </c>
      <c r="F842" s="2" t="s">
        <v>48</v>
      </c>
      <c r="G842" s="2" t="s">
        <v>37</v>
      </c>
      <c r="H842" s="2" t="s">
        <v>35</v>
      </c>
      <c r="I842" s="2" t="s">
        <v>29</v>
      </c>
      <c r="J842" s="2">
        <v>3445.0</v>
      </c>
      <c r="K842" s="2">
        <v>1676.0</v>
      </c>
      <c r="L842" s="2">
        <v>683.0</v>
      </c>
      <c r="M842" s="2">
        <v>638.0</v>
      </c>
      <c r="N842" s="2">
        <v>561.0</v>
      </c>
      <c r="O842" s="2">
        <v>1624.0</v>
      </c>
      <c r="P842" s="2">
        <v>1281.0</v>
      </c>
      <c r="Q842" s="2">
        <v>95.0</v>
      </c>
      <c r="R842" s="2">
        <v>31696.0</v>
      </c>
      <c r="S842" s="2">
        <v>13027.0</v>
      </c>
      <c r="T842" s="2">
        <v>18670.0</v>
      </c>
      <c r="U842" s="2">
        <v>13027.0</v>
      </c>
      <c r="V842" s="2">
        <v>0.0</v>
      </c>
      <c r="W842" s="2">
        <v>18670.0</v>
      </c>
    </row>
    <row r="843" ht="15.0" customHeight="1">
      <c r="A843" s="2">
        <v>2025.0</v>
      </c>
      <c r="B843" s="2" t="s">
        <v>51</v>
      </c>
      <c r="C843" s="2">
        <v>7.0</v>
      </c>
      <c r="D843" s="2" t="s">
        <v>69</v>
      </c>
      <c r="E843" s="2" t="s">
        <v>63</v>
      </c>
      <c r="F843" s="2" t="s">
        <v>48</v>
      </c>
      <c r="G843" s="2" t="s">
        <v>37</v>
      </c>
      <c r="H843" s="2" t="s">
        <v>35</v>
      </c>
      <c r="I843" s="2" t="s">
        <v>30</v>
      </c>
      <c r="J843" s="2">
        <v>2862.0</v>
      </c>
      <c r="K843" s="2">
        <v>1092.0</v>
      </c>
      <c r="L843" s="2">
        <v>364.0</v>
      </c>
      <c r="M843" s="2">
        <v>299.0</v>
      </c>
      <c r="N843" s="2">
        <v>235.0</v>
      </c>
      <c r="O843" s="2">
        <v>637.0</v>
      </c>
      <c r="P843" s="2">
        <v>487.0</v>
      </c>
      <c r="Q843" s="2">
        <v>46.0</v>
      </c>
      <c r="R843" s="2">
        <v>12050.0</v>
      </c>
      <c r="S843" s="2">
        <v>8736.0</v>
      </c>
      <c r="T843" s="2">
        <v>3313.0</v>
      </c>
      <c r="U843" s="2">
        <v>8736.0</v>
      </c>
      <c r="V843" s="2">
        <v>0.0</v>
      </c>
      <c r="W843" s="2">
        <v>3313.0</v>
      </c>
    </row>
    <row r="844" ht="15.0" customHeight="1">
      <c r="A844" s="2">
        <v>2025.0</v>
      </c>
      <c r="B844" s="2" t="s">
        <v>51</v>
      </c>
      <c r="C844" s="2">
        <v>7.0</v>
      </c>
      <c r="D844" s="2" t="s">
        <v>69</v>
      </c>
      <c r="E844" s="2" t="s">
        <v>63</v>
      </c>
      <c r="F844" s="2" t="s">
        <v>48</v>
      </c>
      <c r="G844" s="2" t="s">
        <v>37</v>
      </c>
      <c r="H844" s="2" t="s">
        <v>35</v>
      </c>
      <c r="I844" s="2" t="s">
        <v>31</v>
      </c>
      <c r="J844" s="2">
        <v>210.0</v>
      </c>
      <c r="K844" s="2">
        <v>77.0</v>
      </c>
      <c r="L844" s="2">
        <v>38.0</v>
      </c>
      <c r="M844" s="2">
        <v>33.0</v>
      </c>
      <c r="N844" s="2">
        <v>28.0</v>
      </c>
      <c r="O844" s="2">
        <v>85.0</v>
      </c>
      <c r="P844" s="2">
        <v>70.0</v>
      </c>
      <c r="Q844" s="2">
        <v>6.0</v>
      </c>
      <c r="R844" s="2">
        <v>1770.0</v>
      </c>
      <c r="S844" s="2">
        <v>0.0</v>
      </c>
      <c r="T844" s="2">
        <v>1770.0</v>
      </c>
      <c r="U844" s="2">
        <v>0.0</v>
      </c>
      <c r="V844" s="2">
        <v>0.0</v>
      </c>
      <c r="W844" s="2">
        <v>1770.0</v>
      </c>
    </row>
    <row r="845" ht="15.0" customHeight="1">
      <c r="A845" s="2">
        <v>2025.0</v>
      </c>
      <c r="B845" s="2" t="s">
        <v>51</v>
      </c>
      <c r="C845" s="2">
        <v>7.0</v>
      </c>
      <c r="D845" s="2" t="s">
        <v>69</v>
      </c>
      <c r="E845" s="2" t="s">
        <v>63</v>
      </c>
      <c r="F845" s="2" t="s">
        <v>48</v>
      </c>
      <c r="G845" s="2" t="s">
        <v>38</v>
      </c>
      <c r="H845" s="2" t="s">
        <v>35</v>
      </c>
      <c r="I845" s="2" t="s">
        <v>29</v>
      </c>
      <c r="J845" s="2">
        <v>1673.0</v>
      </c>
      <c r="K845" s="2">
        <v>923.0</v>
      </c>
      <c r="L845" s="2">
        <v>499.0</v>
      </c>
      <c r="M845" s="2">
        <v>476.0</v>
      </c>
      <c r="N845" s="2">
        <v>254.0</v>
      </c>
      <c r="O845" s="2">
        <v>363.0</v>
      </c>
      <c r="P845" s="2">
        <v>269.0</v>
      </c>
      <c r="Q845" s="2">
        <v>69.0</v>
      </c>
      <c r="R845" s="2">
        <v>4748.0</v>
      </c>
      <c r="S845" s="2">
        <v>2209.0</v>
      </c>
      <c r="T845" s="2">
        <v>2540.0</v>
      </c>
      <c r="U845" s="2">
        <v>2071.0</v>
      </c>
      <c r="V845" s="2">
        <v>138.0</v>
      </c>
      <c r="W845" s="2">
        <v>2678.0</v>
      </c>
    </row>
    <row r="846" ht="15.0" customHeight="1">
      <c r="A846" s="2">
        <v>2025.0</v>
      </c>
      <c r="B846" s="2" t="s">
        <v>51</v>
      </c>
      <c r="C846" s="2">
        <v>7.0</v>
      </c>
      <c r="D846" s="2" t="s">
        <v>69</v>
      </c>
      <c r="E846" s="2" t="s">
        <v>63</v>
      </c>
      <c r="F846" s="2" t="s">
        <v>48</v>
      </c>
      <c r="G846" s="2" t="s">
        <v>38</v>
      </c>
      <c r="H846" s="2" t="s">
        <v>35</v>
      </c>
      <c r="I846" s="2" t="s">
        <v>30</v>
      </c>
      <c r="J846" s="2">
        <v>10191.0</v>
      </c>
      <c r="K846" s="2">
        <v>3362.0</v>
      </c>
      <c r="L846" s="2">
        <v>2385.0</v>
      </c>
      <c r="M846" s="2">
        <v>2292.0</v>
      </c>
      <c r="N846" s="2">
        <v>1258.0</v>
      </c>
      <c r="O846" s="2">
        <v>1625.0</v>
      </c>
      <c r="P846" s="2">
        <v>1207.0</v>
      </c>
      <c r="Q846" s="2">
        <v>381.0</v>
      </c>
      <c r="R846" s="2">
        <v>20873.0</v>
      </c>
      <c r="S846" s="2">
        <v>20385.0</v>
      </c>
      <c r="T846" s="2">
        <v>489.0</v>
      </c>
      <c r="U846" s="2">
        <v>20385.0</v>
      </c>
      <c r="V846" s="2">
        <v>0.0</v>
      </c>
      <c r="W846" s="2">
        <v>489.0</v>
      </c>
    </row>
    <row r="847" ht="15.0" customHeight="1">
      <c r="A847" s="2">
        <v>2025.0</v>
      </c>
      <c r="B847" s="2" t="s">
        <v>51</v>
      </c>
      <c r="C847" s="2">
        <v>7.0</v>
      </c>
      <c r="D847" s="2" t="s">
        <v>69</v>
      </c>
      <c r="E847" s="2" t="s">
        <v>63</v>
      </c>
      <c r="F847" s="2" t="s">
        <v>48</v>
      </c>
      <c r="G847" s="2" t="s">
        <v>38</v>
      </c>
      <c r="H847" s="2" t="s">
        <v>35</v>
      </c>
      <c r="I847" s="2" t="s">
        <v>31</v>
      </c>
      <c r="J847" s="2">
        <v>893.0</v>
      </c>
      <c r="K847" s="2">
        <v>575.0</v>
      </c>
      <c r="L847" s="2">
        <v>445.0</v>
      </c>
      <c r="M847" s="2">
        <v>421.0</v>
      </c>
      <c r="N847" s="2">
        <v>222.0</v>
      </c>
      <c r="O847" s="2">
        <v>325.0</v>
      </c>
      <c r="P847" s="2">
        <v>261.0</v>
      </c>
      <c r="Q847" s="2">
        <v>94.0</v>
      </c>
      <c r="R847" s="2">
        <v>4548.0</v>
      </c>
      <c r="S847" s="2">
        <v>0.0</v>
      </c>
      <c r="T847" s="2">
        <v>4548.0</v>
      </c>
      <c r="U847" s="2">
        <v>0.0</v>
      </c>
      <c r="V847" s="2">
        <v>0.0</v>
      </c>
      <c r="W847" s="2">
        <v>4548.0</v>
      </c>
    </row>
    <row r="848" ht="15.0" customHeight="1">
      <c r="A848" s="2">
        <v>2025.0</v>
      </c>
      <c r="B848" s="2" t="s">
        <v>51</v>
      </c>
      <c r="C848" s="2">
        <v>7.0</v>
      </c>
      <c r="D848" s="2" t="s">
        <v>69</v>
      </c>
      <c r="E848" s="2" t="s">
        <v>63</v>
      </c>
      <c r="F848" s="2" t="s">
        <v>48</v>
      </c>
      <c r="G848" s="2" t="s">
        <v>39</v>
      </c>
      <c r="H848" s="2" t="s">
        <v>40</v>
      </c>
      <c r="I848" s="2" t="s">
        <v>29</v>
      </c>
      <c r="J848" s="2">
        <v>14960.0</v>
      </c>
      <c r="K848" s="2">
        <v>9130.0</v>
      </c>
      <c r="L848" s="2">
        <v>4290.0</v>
      </c>
      <c r="M848" s="2">
        <v>4037.0</v>
      </c>
      <c r="N848" s="2">
        <v>3375.0</v>
      </c>
      <c r="O848" s="2">
        <v>4876.0</v>
      </c>
      <c r="P848" s="2">
        <v>4416.0</v>
      </c>
      <c r="Q848" s="2">
        <v>2960.0</v>
      </c>
      <c r="R848" s="2">
        <v>25831.0</v>
      </c>
      <c r="S848" s="2">
        <v>15978.0</v>
      </c>
      <c r="T848" s="2">
        <v>9854.0</v>
      </c>
      <c r="U848" s="2">
        <v>15306.0</v>
      </c>
      <c r="V848" s="2">
        <v>672.0</v>
      </c>
      <c r="W848" s="2">
        <v>10526.0</v>
      </c>
    </row>
    <row r="849" ht="15.0" customHeight="1">
      <c r="A849" s="2">
        <v>2025.0</v>
      </c>
      <c r="B849" s="2" t="s">
        <v>51</v>
      </c>
      <c r="C849" s="2">
        <v>7.0</v>
      </c>
      <c r="D849" s="2" t="s">
        <v>69</v>
      </c>
      <c r="E849" s="2" t="s">
        <v>63</v>
      </c>
      <c r="F849" s="2" t="s">
        <v>48</v>
      </c>
      <c r="G849" s="2" t="s">
        <v>39</v>
      </c>
      <c r="H849" s="2" t="s">
        <v>40</v>
      </c>
      <c r="I849" s="2" t="s">
        <v>30</v>
      </c>
      <c r="J849" s="2">
        <v>8052.0</v>
      </c>
      <c r="K849" s="2">
        <v>3712.0</v>
      </c>
      <c r="L849" s="2">
        <v>1938.0</v>
      </c>
      <c r="M849" s="2">
        <v>1823.0</v>
      </c>
      <c r="N849" s="2">
        <v>1627.0</v>
      </c>
      <c r="O849" s="2">
        <v>2440.0</v>
      </c>
      <c r="P849" s="2">
        <v>2192.0</v>
      </c>
      <c r="Q849" s="2">
        <v>1423.0</v>
      </c>
      <c r="R849" s="2">
        <v>14599.0</v>
      </c>
      <c r="S849" s="2">
        <v>9434.0</v>
      </c>
      <c r="T849" s="2">
        <v>5164.0</v>
      </c>
      <c r="U849" s="2">
        <v>9434.0</v>
      </c>
      <c r="V849" s="2">
        <v>0.0</v>
      </c>
      <c r="W849" s="2">
        <v>5164.0</v>
      </c>
    </row>
    <row r="850" ht="15.0" customHeight="1">
      <c r="A850" s="2">
        <v>2025.0</v>
      </c>
      <c r="B850" s="2" t="s">
        <v>51</v>
      </c>
      <c r="C850" s="2">
        <v>7.0</v>
      </c>
      <c r="D850" s="2" t="s">
        <v>69</v>
      </c>
      <c r="E850" s="2" t="s">
        <v>63</v>
      </c>
      <c r="F850" s="2" t="s">
        <v>48</v>
      </c>
      <c r="G850" s="2" t="s">
        <v>39</v>
      </c>
      <c r="H850" s="2" t="s">
        <v>40</v>
      </c>
      <c r="I850" s="2" t="s">
        <v>31</v>
      </c>
      <c r="J850" s="2">
        <v>2527.0</v>
      </c>
      <c r="K850" s="2">
        <v>1580.0</v>
      </c>
      <c r="L850" s="2">
        <v>869.0</v>
      </c>
      <c r="M850" s="2">
        <v>769.0</v>
      </c>
      <c r="N850" s="2">
        <v>702.0</v>
      </c>
      <c r="O850" s="2">
        <v>1069.0</v>
      </c>
      <c r="P850" s="2">
        <v>987.0</v>
      </c>
      <c r="Q850" s="2">
        <v>624.0</v>
      </c>
      <c r="R850" s="2">
        <v>6537.0</v>
      </c>
      <c r="S850" s="2">
        <v>0.0</v>
      </c>
      <c r="T850" s="2">
        <v>6537.0</v>
      </c>
      <c r="U850" s="2">
        <v>0.0</v>
      </c>
      <c r="V850" s="2">
        <v>0.0</v>
      </c>
      <c r="W850" s="2">
        <v>6537.0</v>
      </c>
    </row>
    <row r="851" ht="15.0" customHeight="1">
      <c r="A851" s="2">
        <v>2025.0</v>
      </c>
      <c r="B851" s="2" t="s">
        <v>51</v>
      </c>
      <c r="C851" s="2">
        <v>7.0</v>
      </c>
      <c r="D851" s="2" t="s">
        <v>69</v>
      </c>
      <c r="E851" s="2" t="s">
        <v>63</v>
      </c>
      <c r="F851" s="2" t="s">
        <v>48</v>
      </c>
      <c r="G851" s="2" t="s">
        <v>41</v>
      </c>
      <c r="H851" s="2" t="s">
        <v>42</v>
      </c>
      <c r="I851" s="2" t="s">
        <v>29</v>
      </c>
      <c r="J851" s="2">
        <v>10217.0</v>
      </c>
      <c r="K851" s="2">
        <v>6278.0</v>
      </c>
      <c r="L851" s="2">
        <v>1596.0</v>
      </c>
      <c r="M851" s="2">
        <v>1402.0</v>
      </c>
      <c r="N851" s="2">
        <v>816.0</v>
      </c>
      <c r="O851" s="2">
        <v>1317.0</v>
      </c>
      <c r="P851" s="2">
        <v>808.0</v>
      </c>
      <c r="Q851" s="2">
        <v>0.0</v>
      </c>
      <c r="R851" s="2">
        <v>6377.0</v>
      </c>
      <c r="S851" s="2">
        <v>9891.0</v>
      </c>
      <c r="T851" s="2">
        <v>-3514.0</v>
      </c>
      <c r="U851" s="2">
        <v>4107.0</v>
      </c>
      <c r="V851" s="2">
        <v>5785.0</v>
      </c>
      <c r="W851" s="2">
        <v>2271.0</v>
      </c>
    </row>
    <row r="852" ht="15.0" customHeight="1">
      <c r="A852" s="2">
        <v>2025.0</v>
      </c>
      <c r="B852" s="2" t="s">
        <v>51</v>
      </c>
      <c r="C852" s="2">
        <v>7.0</v>
      </c>
      <c r="D852" s="2" t="s">
        <v>69</v>
      </c>
      <c r="E852" s="2" t="s">
        <v>63</v>
      </c>
      <c r="F852" s="2" t="s">
        <v>48</v>
      </c>
      <c r="G852" s="2" t="s">
        <v>41</v>
      </c>
      <c r="H852" s="2" t="s">
        <v>42</v>
      </c>
      <c r="I852" s="2" t="s">
        <v>30</v>
      </c>
      <c r="J852" s="2">
        <v>8579.0</v>
      </c>
      <c r="K852" s="2">
        <v>4460.0</v>
      </c>
      <c r="L852" s="2">
        <v>2569.0</v>
      </c>
      <c r="M852" s="2">
        <v>2392.0</v>
      </c>
      <c r="N852" s="2">
        <v>1330.0</v>
      </c>
      <c r="O852" s="2">
        <v>1937.0</v>
      </c>
      <c r="P852" s="2">
        <v>1183.0</v>
      </c>
      <c r="Q852" s="2">
        <v>0.0</v>
      </c>
      <c r="R852" s="2">
        <v>9100.0</v>
      </c>
      <c r="S852" s="2">
        <v>8529.0</v>
      </c>
      <c r="T852" s="2">
        <v>570.0</v>
      </c>
      <c r="U852" s="2">
        <v>8529.0</v>
      </c>
      <c r="V852" s="2">
        <v>0.0</v>
      </c>
      <c r="W852" s="2">
        <v>570.0</v>
      </c>
    </row>
    <row r="853" ht="15.0" customHeight="1">
      <c r="A853" s="2">
        <v>2025.0</v>
      </c>
      <c r="B853" s="2" t="s">
        <v>51</v>
      </c>
      <c r="C853" s="2">
        <v>7.0</v>
      </c>
      <c r="D853" s="2" t="s">
        <v>69</v>
      </c>
      <c r="E853" s="2" t="s">
        <v>63</v>
      </c>
      <c r="F853" s="2" t="s">
        <v>48</v>
      </c>
      <c r="G853" s="2" t="s">
        <v>41</v>
      </c>
      <c r="H853" s="2" t="s">
        <v>42</v>
      </c>
      <c r="I853" s="2" t="s">
        <v>31</v>
      </c>
      <c r="J853" s="2">
        <v>7616.0</v>
      </c>
      <c r="K853" s="2">
        <v>4249.0</v>
      </c>
      <c r="L853" s="2">
        <v>4139.0</v>
      </c>
      <c r="M853" s="2">
        <v>3248.0</v>
      </c>
      <c r="N853" s="2">
        <v>1387.0</v>
      </c>
      <c r="O853" s="2">
        <v>2036.0</v>
      </c>
      <c r="P853" s="2">
        <v>1264.0</v>
      </c>
      <c r="Q853" s="2">
        <v>0.0</v>
      </c>
      <c r="R853" s="2">
        <v>11030.0</v>
      </c>
      <c r="S853" s="2">
        <v>35.0</v>
      </c>
      <c r="T853" s="2">
        <v>10994.0</v>
      </c>
      <c r="U853" s="2">
        <v>35.0</v>
      </c>
      <c r="V853" s="2">
        <v>0.0</v>
      </c>
      <c r="W853" s="2">
        <v>10994.0</v>
      </c>
    </row>
    <row r="854" ht="15.0" customHeight="1">
      <c r="A854" s="2">
        <v>2025.0</v>
      </c>
      <c r="B854" s="2" t="s">
        <v>51</v>
      </c>
      <c r="C854" s="2">
        <v>7.0</v>
      </c>
      <c r="D854" s="2" t="s">
        <v>69</v>
      </c>
      <c r="E854" s="2" t="s">
        <v>63</v>
      </c>
      <c r="F854" s="2" t="s">
        <v>48</v>
      </c>
      <c r="G854" s="2" t="s">
        <v>43</v>
      </c>
      <c r="H854" s="2" t="s">
        <v>42</v>
      </c>
      <c r="I854" s="2" t="s">
        <v>29</v>
      </c>
      <c r="J854" s="2">
        <v>12373.0</v>
      </c>
      <c r="K854" s="2">
        <v>5704.0</v>
      </c>
      <c r="L854" s="2">
        <v>2869.0</v>
      </c>
      <c r="M854" s="2">
        <v>2680.0</v>
      </c>
      <c r="N854" s="2">
        <v>1143.0</v>
      </c>
      <c r="O854" s="2">
        <v>2230.0</v>
      </c>
      <c r="P854" s="2">
        <v>1727.0</v>
      </c>
      <c r="Q854" s="2">
        <v>0.0</v>
      </c>
      <c r="R854" s="2">
        <v>69279.0</v>
      </c>
      <c r="S854" s="2">
        <v>47801.0</v>
      </c>
      <c r="T854" s="2">
        <v>21478.0</v>
      </c>
      <c r="U854" s="2">
        <v>46376.0</v>
      </c>
      <c r="V854" s="2">
        <v>1425.0</v>
      </c>
      <c r="W854" s="2">
        <v>22903.0</v>
      </c>
    </row>
    <row r="855" ht="15.0" customHeight="1">
      <c r="A855" s="2">
        <v>2025.0</v>
      </c>
      <c r="B855" s="2" t="s">
        <v>51</v>
      </c>
      <c r="C855" s="2">
        <v>7.0</v>
      </c>
      <c r="D855" s="2" t="s">
        <v>69</v>
      </c>
      <c r="E855" s="2" t="s">
        <v>63</v>
      </c>
      <c r="F855" s="2" t="s">
        <v>48</v>
      </c>
      <c r="G855" s="2" t="s">
        <v>43</v>
      </c>
      <c r="H855" s="2" t="s">
        <v>42</v>
      </c>
      <c r="I855" s="2" t="s">
        <v>30</v>
      </c>
      <c r="J855" s="2">
        <v>4471.0</v>
      </c>
      <c r="K855" s="2">
        <v>1654.0</v>
      </c>
      <c r="L855" s="2">
        <v>889.0</v>
      </c>
      <c r="M855" s="2">
        <v>824.0</v>
      </c>
      <c r="N855" s="2">
        <v>304.0</v>
      </c>
      <c r="O855" s="2">
        <v>693.0</v>
      </c>
      <c r="P855" s="2">
        <v>571.0</v>
      </c>
      <c r="Q855" s="2">
        <v>0.0</v>
      </c>
      <c r="R855" s="2">
        <v>24397.0</v>
      </c>
      <c r="S855" s="2">
        <v>9695.0</v>
      </c>
      <c r="T855" s="2">
        <v>14702.0</v>
      </c>
      <c r="U855" s="2">
        <v>9695.0</v>
      </c>
      <c r="V855" s="2">
        <v>0.0</v>
      </c>
      <c r="W855" s="2">
        <v>14702.0</v>
      </c>
    </row>
    <row r="856" ht="15.0" customHeight="1">
      <c r="A856" s="2">
        <v>2025.0</v>
      </c>
      <c r="B856" s="2" t="s">
        <v>51</v>
      </c>
      <c r="C856" s="2">
        <v>7.0</v>
      </c>
      <c r="D856" s="2" t="s">
        <v>69</v>
      </c>
      <c r="E856" s="2" t="s">
        <v>63</v>
      </c>
      <c r="F856" s="2" t="s">
        <v>48</v>
      </c>
      <c r="G856" s="2" t="s">
        <v>43</v>
      </c>
      <c r="H856" s="2" t="s">
        <v>42</v>
      </c>
      <c r="I856" s="2" t="s">
        <v>31</v>
      </c>
      <c r="J856" s="2">
        <v>749.0</v>
      </c>
      <c r="K856" s="2">
        <v>368.0</v>
      </c>
      <c r="L856" s="2">
        <v>238.0</v>
      </c>
      <c r="M856" s="2">
        <v>196.0</v>
      </c>
      <c r="N856" s="2">
        <v>92.0</v>
      </c>
      <c r="O856" s="2">
        <v>207.0</v>
      </c>
      <c r="P856" s="2">
        <v>180.0</v>
      </c>
      <c r="Q856" s="2">
        <v>0.0</v>
      </c>
      <c r="R856" s="2">
        <v>7585.0</v>
      </c>
      <c r="S856" s="2">
        <v>0.0</v>
      </c>
      <c r="T856" s="2">
        <v>7585.0</v>
      </c>
      <c r="U856" s="2">
        <v>0.0</v>
      </c>
      <c r="V856" s="2">
        <v>0.0</v>
      </c>
      <c r="W856" s="2">
        <v>7585.0</v>
      </c>
    </row>
    <row r="857" ht="15.0" customHeight="1">
      <c r="A857" s="2">
        <v>2025.0</v>
      </c>
      <c r="B857" s="2" t="s">
        <v>51</v>
      </c>
      <c r="C857" s="2">
        <v>7.0</v>
      </c>
      <c r="D857" s="2" t="s">
        <v>69</v>
      </c>
      <c r="E857" s="2" t="s">
        <v>63</v>
      </c>
      <c r="F857" s="2" t="s">
        <v>48</v>
      </c>
      <c r="G857" s="2" t="s">
        <v>44</v>
      </c>
      <c r="H857" s="2" t="s">
        <v>45</v>
      </c>
      <c r="I857" s="2" t="s">
        <v>29</v>
      </c>
      <c r="J857" s="2">
        <v>1328.0</v>
      </c>
      <c r="K857" s="2">
        <v>700.0</v>
      </c>
      <c r="L857" s="2">
        <v>206.0</v>
      </c>
      <c r="M857" s="2">
        <v>199.0</v>
      </c>
      <c r="N857" s="2">
        <v>181.0</v>
      </c>
      <c r="O857" s="2">
        <v>380.0</v>
      </c>
      <c r="P857" s="2">
        <v>298.0</v>
      </c>
      <c r="Q857" s="2">
        <v>122.0</v>
      </c>
      <c r="R857" s="2">
        <v>6849.0</v>
      </c>
      <c r="S857" s="2">
        <v>6025.0</v>
      </c>
      <c r="T857" s="2">
        <v>824.0</v>
      </c>
      <c r="U857" s="2">
        <v>4106.0</v>
      </c>
      <c r="V857" s="2">
        <v>1919.0</v>
      </c>
      <c r="W857" s="2">
        <v>2743.0</v>
      </c>
    </row>
    <row r="858" ht="15.0" customHeight="1">
      <c r="A858" s="2">
        <v>2025.0</v>
      </c>
      <c r="B858" s="2" t="s">
        <v>51</v>
      </c>
      <c r="C858" s="2">
        <v>7.0</v>
      </c>
      <c r="D858" s="2" t="s">
        <v>69</v>
      </c>
      <c r="E858" s="2" t="s">
        <v>63</v>
      </c>
      <c r="F858" s="2" t="s">
        <v>48</v>
      </c>
      <c r="G858" s="2" t="s">
        <v>44</v>
      </c>
      <c r="H858" s="2" t="s">
        <v>45</v>
      </c>
      <c r="I858" s="2" t="s">
        <v>30</v>
      </c>
      <c r="J858" s="2">
        <v>3408.0</v>
      </c>
      <c r="K858" s="2">
        <v>1691.0</v>
      </c>
      <c r="L858" s="2">
        <v>480.0</v>
      </c>
      <c r="M858" s="2">
        <v>398.0</v>
      </c>
      <c r="N858" s="2">
        <v>314.0</v>
      </c>
      <c r="O858" s="2">
        <v>631.0</v>
      </c>
      <c r="P858" s="2">
        <v>482.0</v>
      </c>
      <c r="Q858" s="2">
        <v>160.0</v>
      </c>
      <c r="R858" s="2">
        <v>11663.0</v>
      </c>
      <c r="S858" s="2">
        <v>6816.0</v>
      </c>
      <c r="T858" s="2">
        <v>4846.0</v>
      </c>
      <c r="U858" s="2">
        <v>6816.0</v>
      </c>
      <c r="V858" s="2">
        <v>0.0</v>
      </c>
      <c r="W858" s="2">
        <v>4846.0</v>
      </c>
    </row>
    <row r="859" ht="15.0" customHeight="1">
      <c r="A859" s="2">
        <v>2025.0</v>
      </c>
      <c r="B859" s="2" t="s">
        <v>51</v>
      </c>
      <c r="C859" s="2">
        <v>7.0</v>
      </c>
      <c r="D859" s="2" t="s">
        <v>69</v>
      </c>
      <c r="E859" s="2" t="s">
        <v>63</v>
      </c>
      <c r="F859" s="2" t="s">
        <v>48</v>
      </c>
      <c r="G859" s="2" t="s">
        <v>44</v>
      </c>
      <c r="H859" s="2" t="s">
        <v>45</v>
      </c>
      <c r="I859" s="2" t="s">
        <v>31</v>
      </c>
      <c r="J859" s="2">
        <v>280.0</v>
      </c>
      <c r="K859" s="2">
        <v>122.0</v>
      </c>
      <c r="L859" s="2">
        <v>37.0</v>
      </c>
      <c r="M859" s="2">
        <v>29.0</v>
      </c>
      <c r="N859" s="2">
        <v>27.0</v>
      </c>
      <c r="O859" s="2">
        <v>78.0</v>
      </c>
      <c r="P859" s="2">
        <v>59.0</v>
      </c>
      <c r="Q859" s="2">
        <v>21.0</v>
      </c>
      <c r="R859" s="2">
        <v>1277.0</v>
      </c>
      <c r="S859" s="2">
        <v>0.0</v>
      </c>
      <c r="T859" s="2">
        <v>1277.0</v>
      </c>
      <c r="U859" s="2">
        <v>0.0</v>
      </c>
      <c r="V859" s="2">
        <v>0.0</v>
      </c>
      <c r="W859" s="2">
        <v>1277.0</v>
      </c>
    </row>
    <row r="860" ht="15.0" customHeight="1">
      <c r="A860" s="2">
        <v>2025.0</v>
      </c>
      <c r="B860" s="2" t="s">
        <v>51</v>
      </c>
      <c r="C860" s="2">
        <v>7.0</v>
      </c>
      <c r="D860" s="2" t="s">
        <v>69</v>
      </c>
      <c r="E860" s="2" t="s">
        <v>63</v>
      </c>
      <c r="F860" s="2" t="s">
        <v>48</v>
      </c>
      <c r="G860" s="2" t="s">
        <v>46</v>
      </c>
      <c r="H860" s="2" t="s">
        <v>47</v>
      </c>
      <c r="I860" s="2" t="s">
        <v>29</v>
      </c>
      <c r="J860" s="2">
        <v>10912.0</v>
      </c>
      <c r="K860" s="2">
        <v>4739.0</v>
      </c>
      <c r="L860" s="2">
        <v>1469.0</v>
      </c>
      <c r="M860" s="2">
        <v>1370.0</v>
      </c>
      <c r="N860" s="2">
        <v>1338.0</v>
      </c>
      <c r="O860" s="2">
        <v>3088.0</v>
      </c>
      <c r="P860" s="2">
        <v>2442.0</v>
      </c>
      <c r="Q860" s="2">
        <v>1279.0</v>
      </c>
      <c r="R860" s="2">
        <v>86983.0</v>
      </c>
      <c r="S860" s="2">
        <v>52350.0</v>
      </c>
      <c r="T860" s="2">
        <v>34633.0</v>
      </c>
      <c r="U860" s="2">
        <v>51784.0</v>
      </c>
      <c r="V860" s="2">
        <v>566.0</v>
      </c>
      <c r="W860" s="2">
        <v>35199.0</v>
      </c>
    </row>
    <row r="861" ht="15.0" customHeight="1">
      <c r="A861" s="2">
        <v>2025.0</v>
      </c>
      <c r="B861" s="2" t="s">
        <v>51</v>
      </c>
      <c r="C861" s="2">
        <v>7.0</v>
      </c>
      <c r="D861" s="2" t="s">
        <v>69</v>
      </c>
      <c r="E861" s="2" t="s">
        <v>63</v>
      </c>
      <c r="F861" s="2" t="s">
        <v>48</v>
      </c>
      <c r="G861" s="2" t="s">
        <v>46</v>
      </c>
      <c r="H861" s="2" t="s">
        <v>47</v>
      </c>
      <c r="I861" s="2" t="s">
        <v>30</v>
      </c>
      <c r="J861" s="2">
        <v>4445.0</v>
      </c>
      <c r="K861" s="2">
        <v>1335.0</v>
      </c>
      <c r="L861" s="2">
        <v>538.0</v>
      </c>
      <c r="M861" s="2">
        <v>471.0</v>
      </c>
      <c r="N861" s="2">
        <v>453.0</v>
      </c>
      <c r="O861" s="2">
        <v>1065.0</v>
      </c>
      <c r="P861" s="2">
        <v>839.0</v>
      </c>
      <c r="Q861" s="2">
        <v>433.0</v>
      </c>
      <c r="R861" s="2">
        <v>29773.0</v>
      </c>
      <c r="S861" s="2">
        <v>14962.0</v>
      </c>
      <c r="T861" s="2">
        <v>14811.0</v>
      </c>
      <c r="U861" s="2">
        <v>14962.0</v>
      </c>
      <c r="V861" s="2">
        <v>0.0</v>
      </c>
      <c r="W861" s="2">
        <v>14811.0</v>
      </c>
    </row>
    <row r="862" ht="15.0" customHeight="1">
      <c r="A862" s="2">
        <v>2025.0</v>
      </c>
      <c r="B862" s="2" t="s">
        <v>51</v>
      </c>
      <c r="C862" s="2">
        <v>7.0</v>
      </c>
      <c r="D862" s="2" t="s">
        <v>69</v>
      </c>
      <c r="E862" s="2" t="s">
        <v>63</v>
      </c>
      <c r="F862" s="2" t="s">
        <v>48</v>
      </c>
      <c r="G862" s="2" t="s">
        <v>46</v>
      </c>
      <c r="H862" s="2" t="s">
        <v>47</v>
      </c>
      <c r="I862" s="2" t="s">
        <v>31</v>
      </c>
      <c r="J862" s="2">
        <v>894.0</v>
      </c>
      <c r="K862" s="2">
        <v>418.0</v>
      </c>
      <c r="L862" s="2">
        <v>171.0</v>
      </c>
      <c r="M862" s="2">
        <v>113.0</v>
      </c>
      <c r="N862" s="2">
        <v>110.0</v>
      </c>
      <c r="O862" s="2">
        <v>263.0</v>
      </c>
      <c r="P862" s="2">
        <v>219.0</v>
      </c>
      <c r="Q862" s="2">
        <v>112.0</v>
      </c>
      <c r="R862" s="2">
        <v>7726.0</v>
      </c>
      <c r="S862" s="2">
        <v>129.0</v>
      </c>
      <c r="T862" s="2">
        <v>7597.0</v>
      </c>
      <c r="U862" s="2">
        <v>129.0</v>
      </c>
      <c r="V862" s="2">
        <v>0.0</v>
      </c>
      <c r="W862" s="2">
        <v>7597.0</v>
      </c>
    </row>
    <row r="863" ht="15.0" customHeight="1">
      <c r="A863" s="2">
        <v>2025.0</v>
      </c>
      <c r="B863" s="2" t="s">
        <v>70</v>
      </c>
      <c r="C863" s="2">
        <v>6.0</v>
      </c>
      <c r="D863" s="2" t="s">
        <v>71</v>
      </c>
      <c r="E863" s="2" t="s">
        <v>61</v>
      </c>
      <c r="F863" s="2" t="s">
        <v>26</v>
      </c>
      <c r="G863" s="2" t="s">
        <v>27</v>
      </c>
      <c r="H863" s="2" t="s">
        <v>28</v>
      </c>
      <c r="I863" s="2" t="s">
        <v>29</v>
      </c>
      <c r="J863" s="2">
        <v>5292.0</v>
      </c>
      <c r="K863" s="2">
        <v>2809.0</v>
      </c>
      <c r="L863" s="2">
        <v>807.0</v>
      </c>
      <c r="M863" s="2">
        <v>777.0</v>
      </c>
      <c r="N863" s="2">
        <v>665.0</v>
      </c>
      <c r="O863" s="2">
        <v>1246.0</v>
      </c>
      <c r="P863" s="2">
        <v>1036.0</v>
      </c>
      <c r="Q863" s="2">
        <v>231.0</v>
      </c>
      <c r="R863" s="2">
        <v>20301.0</v>
      </c>
      <c r="S863" s="2">
        <v>13217.0</v>
      </c>
      <c r="T863" s="2">
        <v>7083.0</v>
      </c>
      <c r="U863" s="2">
        <v>12816.0</v>
      </c>
      <c r="V863" s="2">
        <v>402.0</v>
      </c>
      <c r="W863" s="2">
        <v>7485.0</v>
      </c>
    </row>
    <row r="864" ht="15.0" customHeight="1">
      <c r="A864" s="2">
        <v>2025.0</v>
      </c>
      <c r="B864" s="2" t="s">
        <v>70</v>
      </c>
      <c r="C864" s="2">
        <v>6.0</v>
      </c>
      <c r="D864" s="2" t="s">
        <v>71</v>
      </c>
      <c r="E864" s="2" t="s">
        <v>61</v>
      </c>
      <c r="F864" s="2" t="s">
        <v>26</v>
      </c>
      <c r="G864" s="2" t="s">
        <v>27</v>
      </c>
      <c r="H864" s="2" t="s">
        <v>28</v>
      </c>
      <c r="I864" s="2" t="s">
        <v>30</v>
      </c>
      <c r="J864" s="2">
        <v>1749.0</v>
      </c>
      <c r="K864" s="2">
        <v>724.0</v>
      </c>
      <c r="L864" s="2">
        <v>194.0</v>
      </c>
      <c r="M864" s="2">
        <v>185.0</v>
      </c>
      <c r="N864" s="2">
        <v>152.0</v>
      </c>
      <c r="O864" s="2">
        <v>289.0</v>
      </c>
      <c r="P864" s="2">
        <v>240.0</v>
      </c>
      <c r="Q864" s="2">
        <v>55.0</v>
      </c>
      <c r="R864" s="2">
        <v>4992.0</v>
      </c>
      <c r="S864" s="2">
        <v>3284.0</v>
      </c>
      <c r="T864" s="2">
        <v>1708.0</v>
      </c>
      <c r="U864" s="2">
        <v>3280.0</v>
      </c>
      <c r="V864" s="2">
        <v>4.0</v>
      </c>
      <c r="W864" s="2">
        <v>1712.0</v>
      </c>
    </row>
    <row r="865" ht="15.0" customHeight="1">
      <c r="A865" s="2">
        <v>2025.0</v>
      </c>
      <c r="B865" s="2" t="s">
        <v>70</v>
      </c>
      <c r="C865" s="2">
        <v>6.0</v>
      </c>
      <c r="D865" s="2" t="s">
        <v>71</v>
      </c>
      <c r="E865" s="2" t="s">
        <v>61</v>
      </c>
      <c r="F865" s="2" t="s">
        <v>26</v>
      </c>
      <c r="G865" s="2" t="s">
        <v>27</v>
      </c>
      <c r="H865" s="2" t="s">
        <v>28</v>
      </c>
      <c r="I865" s="2" t="s">
        <v>31</v>
      </c>
      <c r="J865" s="2">
        <v>859.0</v>
      </c>
      <c r="K865" s="2">
        <v>245.0</v>
      </c>
      <c r="L865" s="2">
        <v>176.0</v>
      </c>
      <c r="M865" s="2">
        <v>148.0</v>
      </c>
      <c r="N865" s="2">
        <v>124.0</v>
      </c>
      <c r="O865" s="2">
        <v>249.0</v>
      </c>
      <c r="P865" s="2">
        <v>210.0</v>
      </c>
      <c r="Q865" s="2">
        <v>66.0</v>
      </c>
      <c r="R865" s="2">
        <v>4014.0</v>
      </c>
      <c r="S865" s="2">
        <v>402.0</v>
      </c>
      <c r="T865" s="2">
        <v>3612.0</v>
      </c>
      <c r="U865" s="2">
        <v>402.0</v>
      </c>
      <c r="V865" s="2">
        <v>0.0</v>
      </c>
      <c r="W865" s="2">
        <v>3612.0</v>
      </c>
    </row>
    <row r="866" ht="15.0" customHeight="1">
      <c r="A866" s="2">
        <v>2025.0</v>
      </c>
      <c r="B866" s="2" t="s">
        <v>70</v>
      </c>
      <c r="C866" s="2">
        <v>6.0</v>
      </c>
      <c r="D866" s="2" t="s">
        <v>71</v>
      </c>
      <c r="E866" s="2" t="s">
        <v>61</v>
      </c>
      <c r="F866" s="2" t="s">
        <v>26</v>
      </c>
      <c r="G866" s="2" t="s">
        <v>32</v>
      </c>
      <c r="H866" s="2" t="s">
        <v>28</v>
      </c>
      <c r="I866" s="2" t="s">
        <v>29</v>
      </c>
      <c r="J866" s="2">
        <v>22255.0</v>
      </c>
      <c r="K866" s="2">
        <v>12147.0</v>
      </c>
      <c r="L866" s="2">
        <v>6413.0</v>
      </c>
      <c r="M866" s="2">
        <v>6098.0</v>
      </c>
      <c r="N866" s="2">
        <v>3446.0</v>
      </c>
      <c r="O866" s="2">
        <v>4028.0</v>
      </c>
      <c r="P866" s="2">
        <v>3348.0</v>
      </c>
      <c r="Q866" s="2">
        <v>18.0</v>
      </c>
      <c r="R866" s="2">
        <v>30162.0</v>
      </c>
      <c r="S866" s="2">
        <v>16622.0</v>
      </c>
      <c r="T866" s="2">
        <v>13539.0</v>
      </c>
      <c r="U866" s="2">
        <v>16476.0</v>
      </c>
      <c r="V866" s="2">
        <v>146.0</v>
      </c>
      <c r="W866" s="2">
        <v>13686.0</v>
      </c>
    </row>
    <row r="867" ht="15.0" customHeight="1">
      <c r="A867" s="2">
        <v>2025.0</v>
      </c>
      <c r="B867" s="2" t="s">
        <v>70</v>
      </c>
      <c r="C867" s="2">
        <v>6.0</v>
      </c>
      <c r="D867" s="2" t="s">
        <v>71</v>
      </c>
      <c r="E867" s="2" t="s">
        <v>61</v>
      </c>
      <c r="F867" s="2" t="s">
        <v>26</v>
      </c>
      <c r="G867" s="2" t="s">
        <v>32</v>
      </c>
      <c r="H867" s="2" t="s">
        <v>28</v>
      </c>
      <c r="I867" s="2" t="s">
        <v>30</v>
      </c>
      <c r="J867" s="2">
        <v>28696.0</v>
      </c>
      <c r="K867" s="2">
        <v>10952.0</v>
      </c>
      <c r="L867" s="2">
        <v>5480.0</v>
      </c>
      <c r="M867" s="2">
        <v>5252.0</v>
      </c>
      <c r="N867" s="2">
        <v>2787.0</v>
      </c>
      <c r="O867" s="2">
        <v>3194.0</v>
      </c>
      <c r="P867" s="2">
        <v>2579.0</v>
      </c>
      <c r="Q867" s="2">
        <v>6.0</v>
      </c>
      <c r="R867" s="2">
        <v>22024.0</v>
      </c>
      <c r="S867" s="2">
        <v>23133.0</v>
      </c>
      <c r="T867" s="2">
        <v>-1109.0</v>
      </c>
      <c r="U867" s="2">
        <v>23109.0</v>
      </c>
      <c r="V867" s="2">
        <v>24.0</v>
      </c>
      <c r="W867" s="2">
        <v>-1085.0</v>
      </c>
    </row>
    <row r="868" ht="15.0" customHeight="1">
      <c r="A868" s="2">
        <v>2025.0</v>
      </c>
      <c r="B868" s="2" t="s">
        <v>70</v>
      </c>
      <c r="C868" s="2">
        <v>6.0</v>
      </c>
      <c r="D868" s="2" t="s">
        <v>71</v>
      </c>
      <c r="E868" s="2" t="s">
        <v>61</v>
      </c>
      <c r="F868" s="2" t="s">
        <v>26</v>
      </c>
      <c r="G868" s="2" t="s">
        <v>32</v>
      </c>
      <c r="H868" s="2" t="s">
        <v>28</v>
      </c>
      <c r="I868" s="2" t="s">
        <v>31</v>
      </c>
      <c r="J868" s="2">
        <v>10901.0</v>
      </c>
      <c r="K868" s="2">
        <v>6397.0</v>
      </c>
      <c r="L868" s="2">
        <v>4632.0</v>
      </c>
      <c r="M868" s="2">
        <v>4288.0</v>
      </c>
      <c r="N868" s="2">
        <v>2298.0</v>
      </c>
      <c r="O868" s="2">
        <v>2717.0</v>
      </c>
      <c r="P868" s="2">
        <v>2282.0</v>
      </c>
      <c r="Q868" s="2">
        <v>7.0</v>
      </c>
      <c r="R868" s="2">
        <v>20171.0</v>
      </c>
      <c r="S868" s="2">
        <v>996.0</v>
      </c>
      <c r="T868" s="2">
        <v>19175.0</v>
      </c>
      <c r="U868" s="2">
        <v>996.0</v>
      </c>
      <c r="V868" s="2">
        <v>0.0</v>
      </c>
      <c r="W868" s="2">
        <v>19175.0</v>
      </c>
    </row>
    <row r="869" ht="15.0" customHeight="1">
      <c r="A869" s="2">
        <v>2025.0</v>
      </c>
      <c r="B869" s="2" t="s">
        <v>70</v>
      </c>
      <c r="C869" s="2">
        <v>6.0</v>
      </c>
      <c r="D869" s="2" t="s">
        <v>71</v>
      </c>
      <c r="E869" s="2" t="s">
        <v>61</v>
      </c>
      <c r="F869" s="2" t="s">
        <v>26</v>
      </c>
      <c r="G869" s="2" t="s">
        <v>33</v>
      </c>
      <c r="H869" s="2" t="s">
        <v>28</v>
      </c>
      <c r="I869" s="2" t="s">
        <v>29</v>
      </c>
      <c r="J869" s="2">
        <v>12464.0</v>
      </c>
      <c r="K869" s="2">
        <v>6791.0</v>
      </c>
      <c r="L869" s="2">
        <v>3149.0</v>
      </c>
      <c r="M869" s="2">
        <v>3022.0</v>
      </c>
      <c r="N869" s="2">
        <v>1810.0</v>
      </c>
      <c r="O869" s="2">
        <v>2315.0</v>
      </c>
      <c r="P869" s="2">
        <v>2117.0</v>
      </c>
      <c r="Q869" s="2">
        <v>288.0</v>
      </c>
      <c r="R869" s="2">
        <v>19956.0</v>
      </c>
      <c r="S869" s="2">
        <v>13223.0</v>
      </c>
      <c r="T869" s="2">
        <v>6733.0</v>
      </c>
      <c r="U869" s="2">
        <v>13217.0</v>
      </c>
      <c r="V869" s="2">
        <v>6.0</v>
      </c>
      <c r="W869" s="2">
        <v>6739.0</v>
      </c>
    </row>
    <row r="870" ht="15.0" customHeight="1">
      <c r="A870" s="2">
        <v>2025.0</v>
      </c>
      <c r="B870" s="2" t="s">
        <v>70</v>
      </c>
      <c r="C870" s="2">
        <v>6.0</v>
      </c>
      <c r="D870" s="2" t="s">
        <v>71</v>
      </c>
      <c r="E870" s="2" t="s">
        <v>61</v>
      </c>
      <c r="F870" s="2" t="s">
        <v>26</v>
      </c>
      <c r="G870" s="2" t="s">
        <v>33</v>
      </c>
      <c r="H870" s="2" t="s">
        <v>28</v>
      </c>
      <c r="I870" s="2" t="s">
        <v>30</v>
      </c>
      <c r="J870" s="2">
        <v>5675.0</v>
      </c>
      <c r="K870" s="2">
        <v>3066.0</v>
      </c>
      <c r="L870" s="2">
        <v>1370.0</v>
      </c>
      <c r="M870" s="2">
        <v>1305.0</v>
      </c>
      <c r="N870" s="2">
        <v>727.0</v>
      </c>
      <c r="O870" s="2">
        <v>902.0</v>
      </c>
      <c r="P870" s="2">
        <v>845.0</v>
      </c>
      <c r="Q870" s="2">
        <v>41.0</v>
      </c>
      <c r="R870" s="2">
        <v>7139.0</v>
      </c>
      <c r="S870" s="2">
        <v>5462.0</v>
      </c>
      <c r="T870" s="2">
        <v>1677.0</v>
      </c>
      <c r="U870" s="2">
        <v>5462.0</v>
      </c>
      <c r="V870" s="2">
        <v>0.0</v>
      </c>
      <c r="W870" s="2">
        <v>1677.0</v>
      </c>
    </row>
    <row r="871" ht="15.0" customHeight="1">
      <c r="A871" s="2">
        <v>2025.0</v>
      </c>
      <c r="B871" s="2" t="s">
        <v>70</v>
      </c>
      <c r="C871" s="2">
        <v>6.0</v>
      </c>
      <c r="D871" s="2" t="s">
        <v>71</v>
      </c>
      <c r="E871" s="2" t="s">
        <v>61</v>
      </c>
      <c r="F871" s="2" t="s">
        <v>26</v>
      </c>
      <c r="G871" s="2" t="s">
        <v>33</v>
      </c>
      <c r="H871" s="2" t="s">
        <v>28</v>
      </c>
      <c r="I871" s="2" t="s">
        <v>31</v>
      </c>
      <c r="J871" s="2">
        <v>838.0</v>
      </c>
      <c r="K871" s="2">
        <v>298.0</v>
      </c>
      <c r="L871" s="2">
        <v>223.0</v>
      </c>
      <c r="M871" s="2">
        <v>189.0</v>
      </c>
      <c r="N871" s="2">
        <v>108.0</v>
      </c>
      <c r="O871" s="2">
        <v>134.0</v>
      </c>
      <c r="P871" s="2">
        <v>127.0</v>
      </c>
      <c r="Q871" s="2">
        <v>10.0</v>
      </c>
      <c r="R871" s="2">
        <v>1227.0</v>
      </c>
      <c r="S871" s="2">
        <v>96.0</v>
      </c>
      <c r="T871" s="2">
        <v>1131.0</v>
      </c>
      <c r="U871" s="2">
        <v>96.0</v>
      </c>
      <c r="V871" s="2">
        <v>0.0</v>
      </c>
      <c r="W871" s="2">
        <v>1131.0</v>
      </c>
    </row>
    <row r="872" ht="15.0" customHeight="1">
      <c r="A872" s="2">
        <v>2025.0</v>
      </c>
      <c r="B872" s="2" t="s">
        <v>70</v>
      </c>
      <c r="C872" s="2">
        <v>6.0</v>
      </c>
      <c r="D872" s="2" t="s">
        <v>71</v>
      </c>
      <c r="E872" s="2" t="s">
        <v>61</v>
      </c>
      <c r="F872" s="2" t="s">
        <v>26</v>
      </c>
      <c r="G872" s="2" t="s">
        <v>34</v>
      </c>
      <c r="H872" s="2" t="s">
        <v>35</v>
      </c>
      <c r="I872" s="2" t="s">
        <v>29</v>
      </c>
      <c r="J872" s="2">
        <v>10646.0</v>
      </c>
      <c r="K872" s="2">
        <v>6612.0</v>
      </c>
      <c r="L872" s="2">
        <v>3463.0</v>
      </c>
      <c r="M872" s="2">
        <v>3333.0</v>
      </c>
      <c r="N872" s="2">
        <v>929.0</v>
      </c>
      <c r="O872" s="2">
        <v>1074.0</v>
      </c>
      <c r="P872" s="2">
        <v>778.0</v>
      </c>
      <c r="Q872" s="2">
        <v>53.0</v>
      </c>
      <c r="R872" s="2">
        <v>9829.0</v>
      </c>
      <c r="S872" s="2">
        <v>7231.0</v>
      </c>
      <c r="T872" s="2">
        <v>2598.0</v>
      </c>
      <c r="U872" s="2">
        <v>7051.0</v>
      </c>
      <c r="V872" s="2">
        <v>179.0</v>
      </c>
      <c r="W872" s="2">
        <v>2778.0</v>
      </c>
    </row>
    <row r="873" ht="15.0" customHeight="1">
      <c r="A873" s="2">
        <v>2025.0</v>
      </c>
      <c r="B873" s="2" t="s">
        <v>70</v>
      </c>
      <c r="C873" s="2">
        <v>6.0</v>
      </c>
      <c r="D873" s="2" t="s">
        <v>71</v>
      </c>
      <c r="E873" s="2" t="s">
        <v>61</v>
      </c>
      <c r="F873" s="2" t="s">
        <v>26</v>
      </c>
      <c r="G873" s="2" t="s">
        <v>34</v>
      </c>
      <c r="H873" s="2" t="s">
        <v>35</v>
      </c>
      <c r="I873" s="2" t="s">
        <v>30</v>
      </c>
      <c r="J873" s="2">
        <v>4347.0</v>
      </c>
      <c r="K873" s="2">
        <v>2240.0</v>
      </c>
      <c r="L873" s="2">
        <v>1030.0</v>
      </c>
      <c r="M873" s="2">
        <v>982.0</v>
      </c>
      <c r="N873" s="2">
        <v>279.0</v>
      </c>
      <c r="O873" s="2">
        <v>333.0</v>
      </c>
      <c r="P873" s="2">
        <v>256.0</v>
      </c>
      <c r="Q873" s="2">
        <v>24.0</v>
      </c>
      <c r="R873" s="2">
        <v>3534.0</v>
      </c>
      <c r="S873" s="2">
        <v>1620.0</v>
      </c>
      <c r="T873" s="2">
        <v>1914.0</v>
      </c>
      <c r="U873" s="2">
        <v>1620.0</v>
      </c>
      <c r="V873" s="2">
        <v>0.0</v>
      </c>
      <c r="W873" s="2">
        <v>1914.0</v>
      </c>
    </row>
    <row r="874" ht="15.0" customHeight="1">
      <c r="A874" s="2">
        <v>2025.0</v>
      </c>
      <c r="B874" s="2" t="s">
        <v>70</v>
      </c>
      <c r="C874" s="2">
        <v>6.0</v>
      </c>
      <c r="D874" s="2" t="s">
        <v>71</v>
      </c>
      <c r="E874" s="2" t="s">
        <v>61</v>
      </c>
      <c r="F874" s="2" t="s">
        <v>26</v>
      </c>
      <c r="G874" s="2" t="s">
        <v>34</v>
      </c>
      <c r="H874" s="2" t="s">
        <v>35</v>
      </c>
      <c r="I874" s="2" t="s">
        <v>31</v>
      </c>
      <c r="J874" s="2">
        <v>906.0</v>
      </c>
      <c r="K874" s="2">
        <v>584.0</v>
      </c>
      <c r="L874" s="2">
        <v>331.0</v>
      </c>
      <c r="M874" s="2">
        <v>297.0</v>
      </c>
      <c r="N874" s="2">
        <v>80.0</v>
      </c>
      <c r="O874" s="2">
        <v>102.0</v>
      </c>
      <c r="P874" s="2">
        <v>76.0</v>
      </c>
      <c r="Q874" s="2">
        <v>6.0</v>
      </c>
      <c r="R874" s="2">
        <v>1100.0</v>
      </c>
      <c r="S874" s="2">
        <v>5.0</v>
      </c>
      <c r="T874" s="2">
        <v>1095.0</v>
      </c>
      <c r="U874" s="2">
        <v>5.0</v>
      </c>
      <c r="V874" s="2">
        <v>0.0</v>
      </c>
      <c r="W874" s="2">
        <v>1095.0</v>
      </c>
    </row>
    <row r="875" ht="15.0" customHeight="1">
      <c r="A875" s="2">
        <v>2025.0</v>
      </c>
      <c r="B875" s="2" t="s">
        <v>70</v>
      </c>
      <c r="C875" s="2">
        <v>6.0</v>
      </c>
      <c r="D875" s="2" t="s">
        <v>71</v>
      </c>
      <c r="E875" s="2" t="s">
        <v>61</v>
      </c>
      <c r="F875" s="2" t="s">
        <v>26</v>
      </c>
      <c r="G875" s="2" t="s">
        <v>36</v>
      </c>
      <c r="H875" s="2" t="s">
        <v>35</v>
      </c>
      <c r="I875" s="2" t="s">
        <v>29</v>
      </c>
      <c r="J875" s="2">
        <v>5667.0</v>
      </c>
      <c r="K875" s="2">
        <v>3771.0</v>
      </c>
      <c r="L875" s="2">
        <v>2324.0</v>
      </c>
      <c r="M875" s="2">
        <v>2257.0</v>
      </c>
      <c r="N875" s="2">
        <v>896.0</v>
      </c>
      <c r="O875" s="2">
        <v>1102.0</v>
      </c>
      <c r="P875" s="2">
        <v>833.0</v>
      </c>
      <c r="Q875" s="2">
        <v>0.0</v>
      </c>
      <c r="R875" s="2">
        <v>9212.0</v>
      </c>
      <c r="S875" s="2">
        <v>5665.0</v>
      </c>
      <c r="T875" s="2">
        <v>3547.0</v>
      </c>
      <c r="U875" s="2">
        <v>5665.0</v>
      </c>
      <c r="V875" s="2">
        <v>0.0</v>
      </c>
      <c r="W875" s="2">
        <v>3547.0</v>
      </c>
    </row>
    <row r="876" ht="15.0" customHeight="1">
      <c r="A876" s="2">
        <v>2025.0</v>
      </c>
      <c r="B876" s="2" t="s">
        <v>70</v>
      </c>
      <c r="C876" s="2">
        <v>6.0</v>
      </c>
      <c r="D876" s="2" t="s">
        <v>71</v>
      </c>
      <c r="E876" s="2" t="s">
        <v>61</v>
      </c>
      <c r="F876" s="2" t="s">
        <v>26</v>
      </c>
      <c r="G876" s="2" t="s">
        <v>36</v>
      </c>
      <c r="H876" s="2" t="s">
        <v>35</v>
      </c>
      <c r="I876" s="2" t="s">
        <v>30</v>
      </c>
      <c r="J876" s="2">
        <v>672.0</v>
      </c>
      <c r="K876" s="2">
        <v>367.0</v>
      </c>
      <c r="L876" s="2">
        <v>202.0</v>
      </c>
      <c r="M876" s="2">
        <v>196.0</v>
      </c>
      <c r="N876" s="2">
        <v>74.0</v>
      </c>
      <c r="O876" s="2">
        <v>88.0</v>
      </c>
      <c r="P876" s="2">
        <v>66.0</v>
      </c>
      <c r="Q876" s="2">
        <v>0.0</v>
      </c>
      <c r="R876" s="2">
        <v>748.0</v>
      </c>
      <c r="S876" s="2">
        <v>613.0</v>
      </c>
      <c r="T876" s="2">
        <v>135.0</v>
      </c>
      <c r="U876" s="2">
        <v>557.0</v>
      </c>
      <c r="V876" s="2">
        <v>56.0</v>
      </c>
      <c r="W876" s="2">
        <v>191.0</v>
      </c>
    </row>
    <row r="877" ht="15.0" customHeight="1">
      <c r="A877" s="2">
        <v>2025.0</v>
      </c>
      <c r="B877" s="2" t="s">
        <v>70</v>
      </c>
      <c r="C877" s="2">
        <v>6.0</v>
      </c>
      <c r="D877" s="2" t="s">
        <v>71</v>
      </c>
      <c r="E877" s="2" t="s">
        <v>61</v>
      </c>
      <c r="F877" s="2" t="s">
        <v>26</v>
      </c>
      <c r="G877" s="2" t="s">
        <v>36</v>
      </c>
      <c r="H877" s="2" t="s">
        <v>35</v>
      </c>
      <c r="I877" s="2" t="s">
        <v>31</v>
      </c>
      <c r="J877" s="2">
        <v>513.0</v>
      </c>
      <c r="K877" s="2">
        <v>324.0</v>
      </c>
      <c r="L877" s="2">
        <v>231.0</v>
      </c>
      <c r="M877" s="2">
        <v>213.0</v>
      </c>
      <c r="N877" s="2">
        <v>94.0</v>
      </c>
      <c r="O877" s="2">
        <v>128.0</v>
      </c>
      <c r="P877" s="2">
        <v>94.0</v>
      </c>
      <c r="Q877" s="2">
        <v>0.0</v>
      </c>
      <c r="R877" s="2">
        <v>1069.0</v>
      </c>
      <c r="S877" s="2">
        <v>0.0</v>
      </c>
      <c r="T877" s="2">
        <v>1069.0</v>
      </c>
      <c r="U877" s="2">
        <v>0.0</v>
      </c>
      <c r="V877" s="2">
        <v>0.0</v>
      </c>
      <c r="W877" s="2">
        <v>1069.0</v>
      </c>
    </row>
    <row r="878" ht="15.0" customHeight="1">
      <c r="A878" s="2">
        <v>2025.0</v>
      </c>
      <c r="B878" s="2" t="s">
        <v>70</v>
      </c>
      <c r="C878" s="2">
        <v>6.0</v>
      </c>
      <c r="D878" s="2" t="s">
        <v>71</v>
      </c>
      <c r="E878" s="2" t="s">
        <v>61</v>
      </c>
      <c r="F878" s="2" t="s">
        <v>26</v>
      </c>
      <c r="G878" s="2" t="s">
        <v>37</v>
      </c>
      <c r="H878" s="2" t="s">
        <v>35</v>
      </c>
      <c r="I878" s="2" t="s">
        <v>29</v>
      </c>
      <c r="J878" s="2">
        <v>860.0</v>
      </c>
      <c r="K878" s="2">
        <v>416.0</v>
      </c>
      <c r="L878" s="2">
        <v>158.0</v>
      </c>
      <c r="M878" s="2">
        <v>146.0</v>
      </c>
      <c r="N878" s="2">
        <v>131.0</v>
      </c>
      <c r="O878" s="2">
        <v>373.0</v>
      </c>
      <c r="P878" s="2">
        <v>285.0</v>
      </c>
      <c r="Q878" s="2">
        <v>0.0</v>
      </c>
      <c r="R878" s="2">
        <v>5937.0</v>
      </c>
      <c r="S878" s="2">
        <v>3420.0</v>
      </c>
      <c r="T878" s="2">
        <v>2517.0</v>
      </c>
      <c r="U878" s="2">
        <v>3420.0</v>
      </c>
      <c r="V878" s="2">
        <v>0.0</v>
      </c>
      <c r="W878" s="2">
        <v>2517.0</v>
      </c>
    </row>
    <row r="879" ht="15.0" customHeight="1">
      <c r="A879" s="2">
        <v>2025.0</v>
      </c>
      <c r="B879" s="2" t="s">
        <v>70</v>
      </c>
      <c r="C879" s="2">
        <v>6.0</v>
      </c>
      <c r="D879" s="2" t="s">
        <v>71</v>
      </c>
      <c r="E879" s="2" t="s">
        <v>61</v>
      </c>
      <c r="F879" s="2" t="s">
        <v>26</v>
      </c>
      <c r="G879" s="2" t="s">
        <v>37</v>
      </c>
      <c r="H879" s="2" t="s">
        <v>35</v>
      </c>
      <c r="I879" s="2" t="s">
        <v>30</v>
      </c>
      <c r="J879" s="2">
        <v>273.0</v>
      </c>
      <c r="K879" s="2">
        <v>47.0</v>
      </c>
      <c r="L879" s="2">
        <v>11.0</v>
      </c>
      <c r="M879" s="2">
        <v>11.0</v>
      </c>
      <c r="N879" s="2">
        <v>7.0</v>
      </c>
      <c r="O879" s="2">
        <v>10.0</v>
      </c>
      <c r="P879" s="2">
        <v>8.0</v>
      </c>
      <c r="Q879" s="2">
        <v>0.0</v>
      </c>
      <c r="R879" s="2">
        <v>140.0</v>
      </c>
      <c r="S879" s="2">
        <v>855.0</v>
      </c>
      <c r="T879" s="2">
        <v>-715.0</v>
      </c>
      <c r="U879" s="2">
        <v>855.0</v>
      </c>
      <c r="V879" s="2">
        <v>0.0</v>
      </c>
      <c r="W879" s="2">
        <v>-715.0</v>
      </c>
    </row>
    <row r="880" ht="15.0" customHeight="1">
      <c r="A880" s="2">
        <v>2025.0</v>
      </c>
      <c r="B880" s="2" t="s">
        <v>70</v>
      </c>
      <c r="C880" s="2">
        <v>6.0</v>
      </c>
      <c r="D880" s="2" t="s">
        <v>71</v>
      </c>
      <c r="E880" s="2" t="s">
        <v>61</v>
      </c>
      <c r="F880" s="2" t="s">
        <v>26</v>
      </c>
      <c r="G880" s="2" t="s">
        <v>37</v>
      </c>
      <c r="H880" s="2" t="s">
        <v>35</v>
      </c>
      <c r="I880" s="2" t="s">
        <v>31</v>
      </c>
      <c r="J880" s="2">
        <v>52.0</v>
      </c>
      <c r="K880" s="2">
        <v>32.0</v>
      </c>
      <c r="L880" s="2">
        <v>20.0</v>
      </c>
      <c r="M880" s="2">
        <v>16.0</v>
      </c>
      <c r="N880" s="2">
        <v>15.0</v>
      </c>
      <c r="O880" s="2">
        <v>48.0</v>
      </c>
      <c r="P880" s="2">
        <v>42.0</v>
      </c>
      <c r="Q880" s="2">
        <v>0.0</v>
      </c>
      <c r="R880" s="2">
        <v>880.0</v>
      </c>
      <c r="S880" s="2">
        <v>0.0</v>
      </c>
      <c r="T880" s="2">
        <v>880.0</v>
      </c>
      <c r="U880" s="2">
        <v>0.0</v>
      </c>
      <c r="V880" s="2">
        <v>0.0</v>
      </c>
      <c r="W880" s="2">
        <v>880.0</v>
      </c>
    </row>
    <row r="881" ht="15.0" customHeight="1">
      <c r="A881" s="2">
        <v>2025.0</v>
      </c>
      <c r="B881" s="2" t="s">
        <v>70</v>
      </c>
      <c r="C881" s="2">
        <v>6.0</v>
      </c>
      <c r="D881" s="2" t="s">
        <v>71</v>
      </c>
      <c r="E881" s="2" t="s">
        <v>61</v>
      </c>
      <c r="F881" s="2" t="s">
        <v>26</v>
      </c>
      <c r="G881" s="2" t="s">
        <v>38</v>
      </c>
      <c r="H881" s="2" t="s">
        <v>35</v>
      </c>
      <c r="I881" s="2" t="s">
        <v>29</v>
      </c>
      <c r="J881" s="2">
        <v>3545.0</v>
      </c>
      <c r="K881" s="2">
        <v>1924.0</v>
      </c>
      <c r="L881" s="2">
        <v>1107.0</v>
      </c>
      <c r="M881" s="2">
        <v>1060.0</v>
      </c>
      <c r="N881" s="2">
        <v>754.0</v>
      </c>
      <c r="O881" s="2">
        <v>1297.0</v>
      </c>
      <c r="P881" s="2">
        <v>1057.0</v>
      </c>
      <c r="Q881" s="2">
        <v>172.0</v>
      </c>
      <c r="R881" s="2">
        <v>14310.0</v>
      </c>
      <c r="S881" s="2">
        <v>6421.0</v>
      </c>
      <c r="T881" s="2">
        <v>7889.0</v>
      </c>
      <c r="U881" s="2">
        <v>6409.0</v>
      </c>
      <c r="V881" s="2">
        <v>12.0</v>
      </c>
      <c r="W881" s="2">
        <v>7901.0</v>
      </c>
    </row>
    <row r="882" ht="15.0" customHeight="1">
      <c r="A882" s="2">
        <v>2025.0</v>
      </c>
      <c r="B882" s="2" t="s">
        <v>70</v>
      </c>
      <c r="C882" s="2">
        <v>6.0</v>
      </c>
      <c r="D882" s="2" t="s">
        <v>71</v>
      </c>
      <c r="E882" s="2" t="s">
        <v>61</v>
      </c>
      <c r="F882" s="2" t="s">
        <v>26</v>
      </c>
      <c r="G882" s="2" t="s">
        <v>38</v>
      </c>
      <c r="H882" s="2" t="s">
        <v>35</v>
      </c>
      <c r="I882" s="2" t="s">
        <v>30</v>
      </c>
      <c r="J882" s="2">
        <v>3031.0</v>
      </c>
      <c r="K882" s="2">
        <v>1197.0</v>
      </c>
      <c r="L882" s="2">
        <v>791.0</v>
      </c>
      <c r="M882" s="2">
        <v>768.0</v>
      </c>
      <c r="N882" s="2">
        <v>514.0</v>
      </c>
      <c r="O882" s="2">
        <v>796.0</v>
      </c>
      <c r="P882" s="2">
        <v>616.0</v>
      </c>
      <c r="Q882" s="2">
        <v>115.0</v>
      </c>
      <c r="R882" s="2">
        <v>8070.0</v>
      </c>
      <c r="S882" s="2">
        <v>6607.0</v>
      </c>
      <c r="T882" s="2">
        <v>1464.0</v>
      </c>
      <c r="U882" s="2">
        <v>6601.0</v>
      </c>
      <c r="V882" s="2">
        <v>6.0</v>
      </c>
      <c r="W882" s="2">
        <v>1469.0</v>
      </c>
    </row>
    <row r="883" ht="15.0" customHeight="1">
      <c r="A883" s="2">
        <v>2025.0</v>
      </c>
      <c r="B883" s="2" t="s">
        <v>70</v>
      </c>
      <c r="C883" s="2">
        <v>6.0</v>
      </c>
      <c r="D883" s="2" t="s">
        <v>71</v>
      </c>
      <c r="E883" s="2" t="s">
        <v>61</v>
      </c>
      <c r="F883" s="2" t="s">
        <v>26</v>
      </c>
      <c r="G883" s="2" t="s">
        <v>38</v>
      </c>
      <c r="H883" s="2" t="s">
        <v>35</v>
      </c>
      <c r="I883" s="2" t="s">
        <v>31</v>
      </c>
      <c r="J883" s="2">
        <v>703.0</v>
      </c>
      <c r="K883" s="2">
        <v>417.0</v>
      </c>
      <c r="L883" s="2">
        <v>242.0</v>
      </c>
      <c r="M883" s="2">
        <v>221.0</v>
      </c>
      <c r="N883" s="2">
        <v>170.0</v>
      </c>
      <c r="O883" s="2">
        <v>280.0</v>
      </c>
      <c r="P883" s="2">
        <v>214.0</v>
      </c>
      <c r="Q883" s="2">
        <v>46.0</v>
      </c>
      <c r="R883" s="2">
        <v>2866.0</v>
      </c>
      <c r="S883" s="2">
        <v>10.0</v>
      </c>
      <c r="T883" s="2">
        <v>2856.0</v>
      </c>
      <c r="U883" s="2">
        <v>10.0</v>
      </c>
      <c r="V883" s="2">
        <v>0.0</v>
      </c>
      <c r="W883" s="2">
        <v>2856.0</v>
      </c>
    </row>
    <row r="884" ht="15.0" customHeight="1">
      <c r="A884" s="2">
        <v>2025.0</v>
      </c>
      <c r="B884" s="2" t="s">
        <v>70</v>
      </c>
      <c r="C884" s="2">
        <v>6.0</v>
      </c>
      <c r="D884" s="2" t="s">
        <v>71</v>
      </c>
      <c r="E884" s="2" t="s">
        <v>61</v>
      </c>
      <c r="F884" s="2" t="s">
        <v>26</v>
      </c>
      <c r="G884" s="2" t="s">
        <v>39</v>
      </c>
      <c r="H884" s="2" t="s">
        <v>40</v>
      </c>
      <c r="I884" s="2" t="s">
        <v>29</v>
      </c>
      <c r="J884" s="2">
        <v>9869.0</v>
      </c>
      <c r="K884" s="2">
        <v>6251.0</v>
      </c>
      <c r="L884" s="2">
        <v>3586.0</v>
      </c>
      <c r="M884" s="2">
        <v>3371.0</v>
      </c>
      <c r="N884" s="2">
        <v>1275.0</v>
      </c>
      <c r="O884" s="2">
        <v>1565.0</v>
      </c>
      <c r="P884" s="2">
        <v>921.0</v>
      </c>
      <c r="Q884" s="2">
        <v>0.0</v>
      </c>
      <c r="R884" s="2">
        <v>13255.0</v>
      </c>
      <c r="S884" s="2">
        <v>8340.0</v>
      </c>
      <c r="T884" s="2">
        <v>4914.0</v>
      </c>
      <c r="U884" s="2">
        <v>7980.0</v>
      </c>
      <c r="V884" s="2">
        <v>361.0</v>
      </c>
      <c r="W884" s="2">
        <v>5275.0</v>
      </c>
    </row>
    <row r="885" ht="15.0" customHeight="1">
      <c r="A885" s="2">
        <v>2025.0</v>
      </c>
      <c r="B885" s="2" t="s">
        <v>70</v>
      </c>
      <c r="C885" s="2">
        <v>6.0</v>
      </c>
      <c r="D885" s="2" t="s">
        <v>71</v>
      </c>
      <c r="E885" s="2" t="s">
        <v>61</v>
      </c>
      <c r="F885" s="2" t="s">
        <v>26</v>
      </c>
      <c r="G885" s="2" t="s">
        <v>39</v>
      </c>
      <c r="H885" s="2" t="s">
        <v>40</v>
      </c>
      <c r="I885" s="2" t="s">
        <v>30</v>
      </c>
      <c r="J885" s="2">
        <v>2773.0</v>
      </c>
      <c r="K885" s="2">
        <v>1316.0</v>
      </c>
      <c r="L885" s="2">
        <v>578.0</v>
      </c>
      <c r="M885" s="2">
        <v>552.0</v>
      </c>
      <c r="N885" s="2">
        <v>220.0</v>
      </c>
      <c r="O885" s="2">
        <v>277.0</v>
      </c>
      <c r="P885" s="2">
        <v>157.0</v>
      </c>
      <c r="Q885" s="2">
        <v>0.0</v>
      </c>
      <c r="R885" s="2">
        <v>2330.0</v>
      </c>
      <c r="S885" s="2">
        <v>3037.0</v>
      </c>
      <c r="T885" s="2">
        <v>-708.0</v>
      </c>
      <c r="U885" s="2">
        <v>3026.0</v>
      </c>
      <c r="V885" s="2">
        <v>11.0</v>
      </c>
      <c r="W885" s="2">
        <v>-697.0</v>
      </c>
    </row>
    <row r="886" ht="15.0" customHeight="1">
      <c r="A886" s="2">
        <v>2025.0</v>
      </c>
      <c r="B886" s="2" t="s">
        <v>70</v>
      </c>
      <c r="C886" s="2">
        <v>6.0</v>
      </c>
      <c r="D886" s="2" t="s">
        <v>71</v>
      </c>
      <c r="E886" s="2" t="s">
        <v>61</v>
      </c>
      <c r="F886" s="2" t="s">
        <v>26</v>
      </c>
      <c r="G886" s="2" t="s">
        <v>39</v>
      </c>
      <c r="H886" s="2" t="s">
        <v>40</v>
      </c>
      <c r="I886" s="2" t="s">
        <v>31</v>
      </c>
      <c r="J886" s="2">
        <v>2945.0</v>
      </c>
      <c r="K886" s="2">
        <v>1898.0</v>
      </c>
      <c r="L886" s="2">
        <v>904.0</v>
      </c>
      <c r="M886" s="2">
        <v>794.0</v>
      </c>
      <c r="N886" s="2">
        <v>294.0</v>
      </c>
      <c r="O886" s="2">
        <v>360.0</v>
      </c>
      <c r="P886" s="2">
        <v>222.0</v>
      </c>
      <c r="Q886" s="2">
        <v>0.0</v>
      </c>
      <c r="R886" s="2">
        <v>3238.0</v>
      </c>
      <c r="S886" s="2">
        <v>0.0</v>
      </c>
      <c r="T886" s="2">
        <v>3238.0</v>
      </c>
      <c r="U886" s="2">
        <v>0.0</v>
      </c>
      <c r="V886" s="2">
        <v>0.0</v>
      </c>
      <c r="W886" s="2">
        <v>3238.0</v>
      </c>
    </row>
    <row r="887" ht="15.0" customHeight="1">
      <c r="A887" s="2">
        <v>2025.0</v>
      </c>
      <c r="B887" s="2" t="s">
        <v>70</v>
      </c>
      <c r="C887" s="2">
        <v>6.0</v>
      </c>
      <c r="D887" s="2" t="s">
        <v>71</v>
      </c>
      <c r="E887" s="2" t="s">
        <v>61</v>
      </c>
      <c r="F887" s="2" t="s">
        <v>26</v>
      </c>
      <c r="G887" s="2" t="s">
        <v>41</v>
      </c>
      <c r="H887" s="2" t="s">
        <v>42</v>
      </c>
      <c r="I887" s="2" t="s">
        <v>29</v>
      </c>
      <c r="J887" s="2">
        <v>17627.0</v>
      </c>
      <c r="K887" s="2">
        <v>10344.0</v>
      </c>
      <c r="L887" s="2">
        <v>5965.0</v>
      </c>
      <c r="M887" s="2">
        <v>5665.0</v>
      </c>
      <c r="N887" s="2">
        <v>3179.0</v>
      </c>
      <c r="O887" s="2">
        <v>4020.0</v>
      </c>
      <c r="P887" s="2">
        <v>3196.0</v>
      </c>
      <c r="Q887" s="2">
        <v>10.0</v>
      </c>
      <c r="R887" s="2">
        <v>25986.0</v>
      </c>
      <c r="S887" s="2">
        <v>13876.0</v>
      </c>
      <c r="T887" s="2">
        <v>12110.0</v>
      </c>
      <c r="U887" s="2">
        <v>13669.0</v>
      </c>
      <c r="V887" s="2">
        <v>207.0</v>
      </c>
      <c r="W887" s="2">
        <v>12318.0</v>
      </c>
    </row>
    <row r="888" ht="15.0" customHeight="1">
      <c r="A888" s="2">
        <v>2025.0</v>
      </c>
      <c r="B888" s="2" t="s">
        <v>70</v>
      </c>
      <c r="C888" s="2">
        <v>6.0</v>
      </c>
      <c r="D888" s="2" t="s">
        <v>71</v>
      </c>
      <c r="E888" s="2" t="s">
        <v>61</v>
      </c>
      <c r="F888" s="2" t="s">
        <v>26</v>
      </c>
      <c r="G888" s="2" t="s">
        <v>41</v>
      </c>
      <c r="H888" s="2" t="s">
        <v>42</v>
      </c>
      <c r="I888" s="2" t="s">
        <v>30</v>
      </c>
      <c r="J888" s="2">
        <v>14675.0</v>
      </c>
      <c r="K888" s="2">
        <v>6834.0</v>
      </c>
      <c r="L888" s="2">
        <v>3886.0</v>
      </c>
      <c r="M888" s="2">
        <v>3699.0</v>
      </c>
      <c r="N888" s="2">
        <v>2008.0</v>
      </c>
      <c r="O888" s="2">
        <v>2432.0</v>
      </c>
      <c r="P888" s="2">
        <v>1915.0</v>
      </c>
      <c r="Q888" s="2">
        <v>6.0</v>
      </c>
      <c r="R888" s="2">
        <v>14741.0</v>
      </c>
      <c r="S888" s="2">
        <v>12832.0</v>
      </c>
      <c r="T888" s="2">
        <v>1909.0</v>
      </c>
      <c r="U888" s="2">
        <v>12827.0</v>
      </c>
      <c r="V888" s="2">
        <v>5.0</v>
      </c>
      <c r="W888" s="2">
        <v>1914.0</v>
      </c>
    </row>
    <row r="889" ht="15.0" customHeight="1">
      <c r="A889" s="2">
        <v>2025.0</v>
      </c>
      <c r="B889" s="2" t="s">
        <v>70</v>
      </c>
      <c r="C889" s="2">
        <v>6.0</v>
      </c>
      <c r="D889" s="2" t="s">
        <v>71</v>
      </c>
      <c r="E889" s="2" t="s">
        <v>61</v>
      </c>
      <c r="F889" s="2" t="s">
        <v>26</v>
      </c>
      <c r="G889" s="2" t="s">
        <v>41</v>
      </c>
      <c r="H889" s="2" t="s">
        <v>42</v>
      </c>
      <c r="I889" s="2" t="s">
        <v>31</v>
      </c>
      <c r="J889" s="2">
        <v>12897.0</v>
      </c>
      <c r="K889" s="2">
        <v>7731.0</v>
      </c>
      <c r="L889" s="2">
        <v>5492.0</v>
      </c>
      <c r="M889" s="2">
        <v>4954.0</v>
      </c>
      <c r="N889" s="2">
        <v>2624.0</v>
      </c>
      <c r="O889" s="2">
        <v>3266.0</v>
      </c>
      <c r="P889" s="2">
        <v>2554.0</v>
      </c>
      <c r="Q889" s="2">
        <v>6.0</v>
      </c>
      <c r="R889" s="2">
        <v>20593.0</v>
      </c>
      <c r="S889" s="2">
        <v>264.0</v>
      </c>
      <c r="T889" s="2">
        <v>20329.0</v>
      </c>
      <c r="U889" s="2">
        <v>264.0</v>
      </c>
      <c r="V889" s="2">
        <v>0.0</v>
      </c>
      <c r="W889" s="2">
        <v>20329.0</v>
      </c>
    </row>
    <row r="890" ht="15.0" customHeight="1">
      <c r="A890" s="2">
        <v>2025.0</v>
      </c>
      <c r="B890" s="2" t="s">
        <v>70</v>
      </c>
      <c r="C890" s="2">
        <v>6.0</v>
      </c>
      <c r="D890" s="2" t="s">
        <v>71</v>
      </c>
      <c r="E890" s="2" t="s">
        <v>61</v>
      </c>
      <c r="F890" s="2" t="s">
        <v>26</v>
      </c>
      <c r="G890" s="2" t="s">
        <v>43</v>
      </c>
      <c r="H890" s="2" t="s">
        <v>42</v>
      </c>
      <c r="I890" s="2" t="s">
        <v>29</v>
      </c>
      <c r="J890" s="2">
        <v>3034.0</v>
      </c>
      <c r="K890" s="2">
        <v>1313.0</v>
      </c>
      <c r="L890" s="2">
        <v>649.0</v>
      </c>
      <c r="M890" s="2">
        <v>603.0</v>
      </c>
      <c r="N890" s="2">
        <v>294.0</v>
      </c>
      <c r="O890" s="2">
        <v>576.0</v>
      </c>
      <c r="P890" s="2">
        <v>409.0</v>
      </c>
      <c r="Q890" s="2">
        <v>0.0</v>
      </c>
      <c r="R890" s="2">
        <v>13022.0</v>
      </c>
      <c r="S890" s="2">
        <v>8153.0</v>
      </c>
      <c r="T890" s="2">
        <v>4869.0</v>
      </c>
      <c r="U890" s="2">
        <v>7557.0</v>
      </c>
      <c r="V890" s="2">
        <v>596.0</v>
      </c>
      <c r="W890" s="2">
        <v>5465.0</v>
      </c>
    </row>
    <row r="891" ht="15.0" customHeight="1">
      <c r="A891" s="2">
        <v>2025.0</v>
      </c>
      <c r="B891" s="2" t="s">
        <v>70</v>
      </c>
      <c r="C891" s="2">
        <v>6.0</v>
      </c>
      <c r="D891" s="2" t="s">
        <v>71</v>
      </c>
      <c r="E891" s="2" t="s">
        <v>61</v>
      </c>
      <c r="F891" s="2" t="s">
        <v>26</v>
      </c>
      <c r="G891" s="2" t="s">
        <v>43</v>
      </c>
      <c r="H891" s="2" t="s">
        <v>42</v>
      </c>
      <c r="I891" s="2" t="s">
        <v>30</v>
      </c>
      <c r="J891" s="2">
        <v>1868.0</v>
      </c>
      <c r="K891" s="2">
        <v>695.0</v>
      </c>
      <c r="L891" s="2">
        <v>420.0</v>
      </c>
      <c r="M891" s="2">
        <v>398.0</v>
      </c>
      <c r="N891" s="2">
        <v>60.0</v>
      </c>
      <c r="O891" s="2">
        <v>114.0</v>
      </c>
      <c r="P891" s="2">
        <v>75.0</v>
      </c>
      <c r="Q891" s="2">
        <v>0.0</v>
      </c>
      <c r="R891" s="2">
        <v>2504.0</v>
      </c>
      <c r="S891" s="2">
        <v>2186.0</v>
      </c>
      <c r="T891" s="2">
        <v>318.0</v>
      </c>
      <c r="U891" s="2">
        <v>2186.0</v>
      </c>
      <c r="V891" s="2">
        <v>0.0</v>
      </c>
      <c r="W891" s="2">
        <v>318.0</v>
      </c>
    </row>
    <row r="892" ht="15.0" customHeight="1">
      <c r="A892" s="2">
        <v>2025.0</v>
      </c>
      <c r="B892" s="2" t="s">
        <v>70</v>
      </c>
      <c r="C892" s="2">
        <v>6.0</v>
      </c>
      <c r="D892" s="2" t="s">
        <v>71</v>
      </c>
      <c r="E892" s="2" t="s">
        <v>61</v>
      </c>
      <c r="F892" s="2" t="s">
        <v>26</v>
      </c>
      <c r="G892" s="2" t="s">
        <v>43</v>
      </c>
      <c r="H892" s="2" t="s">
        <v>42</v>
      </c>
      <c r="I892" s="2" t="s">
        <v>31</v>
      </c>
      <c r="J892" s="2">
        <v>393.0</v>
      </c>
      <c r="K892" s="2">
        <v>261.0</v>
      </c>
      <c r="L892" s="2">
        <v>136.0</v>
      </c>
      <c r="M892" s="2">
        <v>104.0</v>
      </c>
      <c r="N892" s="2">
        <v>25.0</v>
      </c>
      <c r="O892" s="2">
        <v>59.0</v>
      </c>
      <c r="P892" s="2">
        <v>47.0</v>
      </c>
      <c r="Q892" s="2">
        <v>0.0</v>
      </c>
      <c r="R892" s="2">
        <v>1546.0</v>
      </c>
      <c r="S892" s="2">
        <v>0.0</v>
      </c>
      <c r="T892" s="2">
        <v>1546.0</v>
      </c>
      <c r="U892" s="2">
        <v>0.0</v>
      </c>
      <c r="V892" s="2">
        <v>0.0</v>
      </c>
      <c r="W892" s="2">
        <v>1546.0</v>
      </c>
    </row>
    <row r="893" ht="15.0" customHeight="1">
      <c r="A893" s="2">
        <v>2025.0</v>
      </c>
      <c r="B893" s="2" t="s">
        <v>70</v>
      </c>
      <c r="C893" s="2">
        <v>6.0</v>
      </c>
      <c r="D893" s="2" t="s">
        <v>71</v>
      </c>
      <c r="E893" s="2" t="s">
        <v>61</v>
      </c>
      <c r="F893" s="2" t="s">
        <v>26</v>
      </c>
      <c r="G893" s="2" t="s">
        <v>44</v>
      </c>
      <c r="H893" s="2" t="s">
        <v>45</v>
      </c>
      <c r="I893" s="2" t="s">
        <v>29</v>
      </c>
      <c r="J893" s="2">
        <v>5832.0</v>
      </c>
      <c r="K893" s="2">
        <v>2983.0</v>
      </c>
      <c r="L893" s="2">
        <v>959.0</v>
      </c>
      <c r="M893" s="2">
        <v>920.0</v>
      </c>
      <c r="N893" s="2">
        <v>798.0</v>
      </c>
      <c r="O893" s="2">
        <v>1447.0</v>
      </c>
      <c r="P893" s="2">
        <v>1167.0</v>
      </c>
      <c r="Q893" s="2">
        <v>653.0</v>
      </c>
      <c r="R893" s="2">
        <v>40276.0</v>
      </c>
      <c r="S893" s="2">
        <v>31059.0</v>
      </c>
      <c r="T893" s="2">
        <v>9217.0</v>
      </c>
      <c r="U893" s="2">
        <v>30114.0</v>
      </c>
      <c r="V893" s="2">
        <v>944.0</v>
      </c>
      <c r="W893" s="2">
        <v>10161.0</v>
      </c>
    </row>
    <row r="894" ht="15.0" customHeight="1">
      <c r="A894" s="2">
        <v>2025.0</v>
      </c>
      <c r="B894" s="2" t="s">
        <v>70</v>
      </c>
      <c r="C894" s="2">
        <v>6.0</v>
      </c>
      <c r="D894" s="2" t="s">
        <v>71</v>
      </c>
      <c r="E894" s="2" t="s">
        <v>61</v>
      </c>
      <c r="F894" s="2" t="s">
        <v>26</v>
      </c>
      <c r="G894" s="2" t="s">
        <v>44</v>
      </c>
      <c r="H894" s="2" t="s">
        <v>45</v>
      </c>
      <c r="I894" s="2" t="s">
        <v>30</v>
      </c>
      <c r="J894" s="2">
        <v>3267.0</v>
      </c>
      <c r="K894" s="2">
        <v>1119.0</v>
      </c>
      <c r="L894" s="2">
        <v>333.0</v>
      </c>
      <c r="M894" s="2">
        <v>319.0</v>
      </c>
      <c r="N894" s="2">
        <v>267.0</v>
      </c>
      <c r="O894" s="2">
        <v>486.0</v>
      </c>
      <c r="P894" s="2">
        <v>388.0</v>
      </c>
      <c r="Q894" s="2">
        <v>185.0</v>
      </c>
      <c r="R894" s="2">
        <v>13157.0</v>
      </c>
      <c r="S894" s="2">
        <v>10338.0</v>
      </c>
      <c r="T894" s="2">
        <v>2820.0</v>
      </c>
      <c r="U894" s="2">
        <v>10332.0</v>
      </c>
      <c r="V894" s="2">
        <v>6.0</v>
      </c>
      <c r="W894" s="2">
        <v>2826.0</v>
      </c>
    </row>
    <row r="895" ht="15.0" customHeight="1">
      <c r="A895" s="2">
        <v>2025.0</v>
      </c>
      <c r="B895" s="2" t="s">
        <v>70</v>
      </c>
      <c r="C895" s="2">
        <v>6.0</v>
      </c>
      <c r="D895" s="2" t="s">
        <v>71</v>
      </c>
      <c r="E895" s="2" t="s">
        <v>61</v>
      </c>
      <c r="F895" s="2" t="s">
        <v>26</v>
      </c>
      <c r="G895" s="2" t="s">
        <v>44</v>
      </c>
      <c r="H895" s="2" t="s">
        <v>45</v>
      </c>
      <c r="I895" s="2" t="s">
        <v>31</v>
      </c>
      <c r="J895" s="2">
        <v>1399.0</v>
      </c>
      <c r="K895" s="2">
        <v>535.0</v>
      </c>
      <c r="L895" s="2">
        <v>188.0</v>
      </c>
      <c r="M895" s="2">
        <v>158.0</v>
      </c>
      <c r="N895" s="2">
        <v>143.0</v>
      </c>
      <c r="O895" s="2">
        <v>242.0</v>
      </c>
      <c r="P895" s="2">
        <v>202.0</v>
      </c>
      <c r="Q895" s="2">
        <v>107.0</v>
      </c>
      <c r="R895" s="2">
        <v>7418.0</v>
      </c>
      <c r="S895" s="2">
        <v>90.0</v>
      </c>
      <c r="T895" s="2">
        <v>7327.0</v>
      </c>
      <c r="U895" s="2">
        <v>90.0</v>
      </c>
      <c r="V895" s="2">
        <v>0.0</v>
      </c>
      <c r="W895" s="2">
        <v>7327.0</v>
      </c>
    </row>
    <row r="896" ht="15.0" customHeight="1">
      <c r="A896" s="2">
        <v>2025.0</v>
      </c>
      <c r="B896" s="2" t="s">
        <v>70</v>
      </c>
      <c r="C896" s="2">
        <v>6.0</v>
      </c>
      <c r="D896" s="2" t="s">
        <v>71</v>
      </c>
      <c r="E896" s="2" t="s">
        <v>61</v>
      </c>
      <c r="F896" s="2" t="s">
        <v>26</v>
      </c>
      <c r="G896" s="2" t="s">
        <v>46</v>
      </c>
      <c r="H896" s="2" t="s">
        <v>47</v>
      </c>
      <c r="I896" s="2" t="s">
        <v>29</v>
      </c>
      <c r="J896" s="2">
        <v>3867.0</v>
      </c>
      <c r="K896" s="2">
        <v>1922.0</v>
      </c>
      <c r="L896" s="2">
        <v>813.0</v>
      </c>
      <c r="M896" s="2">
        <v>766.0</v>
      </c>
      <c r="N896" s="2">
        <v>741.0</v>
      </c>
      <c r="O896" s="2">
        <v>1607.0</v>
      </c>
      <c r="P896" s="2">
        <v>971.0</v>
      </c>
      <c r="Q896" s="2">
        <v>140.0</v>
      </c>
      <c r="R896" s="2">
        <v>34595.0</v>
      </c>
      <c r="S896" s="2">
        <v>19450.0</v>
      </c>
      <c r="T896" s="2">
        <v>15145.0</v>
      </c>
      <c r="U896" s="2">
        <v>19195.0</v>
      </c>
      <c r="V896" s="2">
        <v>255.0</v>
      </c>
      <c r="W896" s="2">
        <v>15400.0</v>
      </c>
    </row>
    <row r="897" ht="15.0" customHeight="1">
      <c r="A897" s="2">
        <v>2025.0</v>
      </c>
      <c r="B897" s="2" t="s">
        <v>70</v>
      </c>
      <c r="C897" s="2">
        <v>6.0</v>
      </c>
      <c r="D897" s="2" t="s">
        <v>71</v>
      </c>
      <c r="E897" s="2" t="s">
        <v>61</v>
      </c>
      <c r="F897" s="2" t="s">
        <v>26</v>
      </c>
      <c r="G897" s="2" t="s">
        <v>46</v>
      </c>
      <c r="H897" s="2" t="s">
        <v>47</v>
      </c>
      <c r="I897" s="2" t="s">
        <v>30</v>
      </c>
      <c r="J897" s="2">
        <v>1458.0</v>
      </c>
      <c r="K897" s="2">
        <v>422.0</v>
      </c>
      <c r="L897" s="2">
        <v>177.0</v>
      </c>
      <c r="M897" s="2">
        <v>168.0</v>
      </c>
      <c r="N897" s="2">
        <v>167.0</v>
      </c>
      <c r="O897" s="2">
        <v>344.0</v>
      </c>
      <c r="P897" s="2">
        <v>207.0</v>
      </c>
      <c r="Q897" s="2">
        <v>25.0</v>
      </c>
      <c r="R897" s="2">
        <v>7583.0</v>
      </c>
      <c r="S897" s="2">
        <v>4109.0</v>
      </c>
      <c r="T897" s="2">
        <v>3474.0</v>
      </c>
      <c r="U897" s="2">
        <v>4109.0</v>
      </c>
      <c r="V897" s="2">
        <v>0.0</v>
      </c>
      <c r="W897" s="2">
        <v>3474.0</v>
      </c>
    </row>
    <row r="898" ht="15.0" customHeight="1">
      <c r="A898" s="2">
        <v>2025.0</v>
      </c>
      <c r="B898" s="2" t="s">
        <v>70</v>
      </c>
      <c r="C898" s="2">
        <v>6.0</v>
      </c>
      <c r="D898" s="2" t="s">
        <v>71</v>
      </c>
      <c r="E898" s="2" t="s">
        <v>61</v>
      </c>
      <c r="F898" s="2" t="s">
        <v>26</v>
      </c>
      <c r="G898" s="2" t="s">
        <v>46</v>
      </c>
      <c r="H898" s="2" t="s">
        <v>47</v>
      </c>
      <c r="I898" s="2" t="s">
        <v>31</v>
      </c>
      <c r="J898" s="2">
        <v>1460.0</v>
      </c>
      <c r="K898" s="2">
        <v>770.0</v>
      </c>
      <c r="L898" s="2">
        <v>249.0</v>
      </c>
      <c r="M898" s="2">
        <v>157.0</v>
      </c>
      <c r="N898" s="2">
        <v>153.0</v>
      </c>
      <c r="O898" s="2">
        <v>328.0</v>
      </c>
      <c r="P898" s="2">
        <v>194.0</v>
      </c>
      <c r="Q898" s="2">
        <v>25.0</v>
      </c>
      <c r="R898" s="2">
        <v>7236.0</v>
      </c>
      <c r="S898" s="2">
        <v>250.0</v>
      </c>
      <c r="T898" s="2">
        <v>6986.0</v>
      </c>
      <c r="U898" s="2">
        <v>250.0</v>
      </c>
      <c r="V898" s="2">
        <v>0.0</v>
      </c>
      <c r="W898" s="2">
        <v>6986.0</v>
      </c>
    </row>
    <row r="899" ht="15.0" customHeight="1">
      <c r="A899" s="2">
        <v>2025.0</v>
      </c>
      <c r="B899" s="2" t="s">
        <v>70</v>
      </c>
      <c r="C899" s="2">
        <v>6.0</v>
      </c>
      <c r="D899" s="2" t="s">
        <v>71</v>
      </c>
      <c r="E899" s="2" t="s">
        <v>61</v>
      </c>
      <c r="F899" s="2" t="s">
        <v>48</v>
      </c>
      <c r="G899" s="2" t="s">
        <v>27</v>
      </c>
      <c r="H899" s="2" t="s">
        <v>28</v>
      </c>
      <c r="I899" s="2" t="s">
        <v>29</v>
      </c>
      <c r="J899" s="2">
        <v>4865.0</v>
      </c>
      <c r="K899" s="2">
        <v>2451.0</v>
      </c>
      <c r="L899" s="2">
        <v>977.0</v>
      </c>
      <c r="M899" s="2">
        <v>939.0</v>
      </c>
      <c r="N899" s="2">
        <v>567.0</v>
      </c>
      <c r="O899" s="2">
        <v>866.0</v>
      </c>
      <c r="P899" s="2">
        <v>673.0</v>
      </c>
      <c r="Q899" s="2">
        <v>0.0</v>
      </c>
      <c r="R899" s="2">
        <v>19781.0</v>
      </c>
      <c r="S899" s="2">
        <v>14441.0</v>
      </c>
      <c r="T899" s="2">
        <v>5341.0</v>
      </c>
      <c r="U899" s="2">
        <v>13764.0</v>
      </c>
      <c r="V899" s="2">
        <v>676.0</v>
      </c>
      <c r="W899" s="2">
        <v>6017.0</v>
      </c>
    </row>
    <row r="900" ht="15.0" customHeight="1">
      <c r="A900" s="2">
        <v>2025.0</v>
      </c>
      <c r="B900" s="2" t="s">
        <v>70</v>
      </c>
      <c r="C900" s="2">
        <v>6.0</v>
      </c>
      <c r="D900" s="2" t="s">
        <v>71</v>
      </c>
      <c r="E900" s="2" t="s">
        <v>61</v>
      </c>
      <c r="F900" s="2" t="s">
        <v>48</v>
      </c>
      <c r="G900" s="2" t="s">
        <v>27</v>
      </c>
      <c r="H900" s="2" t="s">
        <v>28</v>
      </c>
      <c r="I900" s="2" t="s">
        <v>30</v>
      </c>
      <c r="J900" s="2">
        <v>2631.0</v>
      </c>
      <c r="K900" s="2">
        <v>857.0</v>
      </c>
      <c r="L900" s="2">
        <v>312.0</v>
      </c>
      <c r="M900" s="2">
        <v>295.0</v>
      </c>
      <c r="N900" s="2">
        <v>175.0</v>
      </c>
      <c r="O900" s="2">
        <v>285.0</v>
      </c>
      <c r="P900" s="2">
        <v>209.0</v>
      </c>
      <c r="Q900" s="2">
        <v>0.0</v>
      </c>
      <c r="R900" s="2">
        <v>6241.0</v>
      </c>
      <c r="S900" s="2">
        <v>4212.0</v>
      </c>
      <c r="T900" s="2">
        <v>2028.0</v>
      </c>
      <c r="U900" s="2">
        <v>4212.0</v>
      </c>
      <c r="V900" s="2">
        <v>0.0</v>
      </c>
      <c r="W900" s="2">
        <v>2028.0</v>
      </c>
    </row>
    <row r="901" ht="15.0" customHeight="1">
      <c r="A901" s="2">
        <v>2025.0</v>
      </c>
      <c r="B901" s="2" t="s">
        <v>70</v>
      </c>
      <c r="C901" s="2">
        <v>6.0</v>
      </c>
      <c r="D901" s="2" t="s">
        <v>71</v>
      </c>
      <c r="E901" s="2" t="s">
        <v>61</v>
      </c>
      <c r="F901" s="2" t="s">
        <v>48</v>
      </c>
      <c r="G901" s="2" t="s">
        <v>27</v>
      </c>
      <c r="H901" s="2" t="s">
        <v>28</v>
      </c>
      <c r="I901" s="2" t="s">
        <v>31</v>
      </c>
      <c r="J901" s="2">
        <v>265.0</v>
      </c>
      <c r="K901" s="2">
        <v>133.0</v>
      </c>
      <c r="L901" s="2">
        <v>183.0</v>
      </c>
      <c r="M901" s="2">
        <v>165.0</v>
      </c>
      <c r="N901" s="2">
        <v>87.0</v>
      </c>
      <c r="O901" s="2">
        <v>143.0</v>
      </c>
      <c r="P901" s="2">
        <v>112.0</v>
      </c>
      <c r="Q901" s="2">
        <v>0.0</v>
      </c>
      <c r="R901" s="2">
        <v>3309.0</v>
      </c>
      <c r="S901" s="2">
        <v>646.0</v>
      </c>
      <c r="T901" s="2">
        <v>2663.0</v>
      </c>
      <c r="U901" s="2">
        <v>646.0</v>
      </c>
      <c r="V901" s="2">
        <v>0.0</v>
      </c>
      <c r="W901" s="2">
        <v>2663.0</v>
      </c>
    </row>
    <row r="902" ht="15.0" customHeight="1">
      <c r="A902" s="2">
        <v>2025.0</v>
      </c>
      <c r="B902" s="2" t="s">
        <v>70</v>
      </c>
      <c r="C902" s="2">
        <v>6.0</v>
      </c>
      <c r="D902" s="2" t="s">
        <v>71</v>
      </c>
      <c r="E902" s="2" t="s">
        <v>61</v>
      </c>
      <c r="F902" s="2" t="s">
        <v>48</v>
      </c>
      <c r="G902" s="2" t="s">
        <v>32</v>
      </c>
      <c r="H902" s="2" t="s">
        <v>28</v>
      </c>
      <c r="I902" s="2" t="s">
        <v>29</v>
      </c>
      <c r="J902" s="2">
        <v>754.0</v>
      </c>
      <c r="K902" s="2">
        <v>415.0</v>
      </c>
      <c r="L902" s="2">
        <v>220.0</v>
      </c>
      <c r="M902" s="2">
        <v>208.0</v>
      </c>
      <c r="N902" s="2">
        <v>54.0</v>
      </c>
      <c r="O902" s="2">
        <v>77.0</v>
      </c>
      <c r="P902" s="2">
        <v>70.0</v>
      </c>
      <c r="Q902" s="2">
        <v>0.0</v>
      </c>
      <c r="R902" s="2">
        <v>1020.0</v>
      </c>
      <c r="S902" s="2">
        <v>656.0</v>
      </c>
      <c r="T902" s="2">
        <v>364.0</v>
      </c>
      <c r="U902" s="2">
        <v>656.0</v>
      </c>
      <c r="V902" s="2">
        <v>0.0</v>
      </c>
      <c r="W902" s="2">
        <v>364.0</v>
      </c>
    </row>
    <row r="903" ht="15.0" customHeight="1">
      <c r="A903" s="2">
        <v>2025.0</v>
      </c>
      <c r="B903" s="2" t="s">
        <v>70</v>
      </c>
      <c r="C903" s="2">
        <v>6.0</v>
      </c>
      <c r="D903" s="2" t="s">
        <v>71</v>
      </c>
      <c r="E903" s="2" t="s">
        <v>61</v>
      </c>
      <c r="F903" s="2" t="s">
        <v>48</v>
      </c>
      <c r="G903" s="2" t="s">
        <v>32</v>
      </c>
      <c r="H903" s="2" t="s">
        <v>28</v>
      </c>
      <c r="I903" s="2" t="s">
        <v>30</v>
      </c>
      <c r="J903" s="2">
        <v>2640.0</v>
      </c>
      <c r="K903" s="2">
        <v>941.0</v>
      </c>
      <c r="L903" s="2">
        <v>616.0</v>
      </c>
      <c r="M903" s="2">
        <v>583.0</v>
      </c>
      <c r="N903" s="2">
        <v>136.0</v>
      </c>
      <c r="O903" s="2">
        <v>146.0</v>
      </c>
      <c r="P903" s="2">
        <v>114.0</v>
      </c>
      <c r="Q903" s="2">
        <v>0.0</v>
      </c>
      <c r="R903" s="2">
        <v>1713.0</v>
      </c>
      <c r="S903" s="2">
        <v>2413.0</v>
      </c>
      <c r="T903" s="2">
        <v>-698.0</v>
      </c>
      <c r="U903" s="2">
        <v>2413.0</v>
      </c>
      <c r="V903" s="2">
        <v>0.0</v>
      </c>
      <c r="W903" s="2">
        <v>-698.0</v>
      </c>
    </row>
    <row r="904" ht="15.0" customHeight="1">
      <c r="A904" s="2">
        <v>2025.0</v>
      </c>
      <c r="B904" s="2" t="s">
        <v>70</v>
      </c>
      <c r="C904" s="2">
        <v>6.0</v>
      </c>
      <c r="D904" s="2" t="s">
        <v>71</v>
      </c>
      <c r="E904" s="2" t="s">
        <v>61</v>
      </c>
      <c r="F904" s="2" t="s">
        <v>48</v>
      </c>
      <c r="G904" s="2" t="s">
        <v>32</v>
      </c>
      <c r="H904" s="2" t="s">
        <v>28</v>
      </c>
      <c r="I904" s="2" t="s">
        <v>31</v>
      </c>
      <c r="J904" s="2">
        <v>1302.0</v>
      </c>
      <c r="K904" s="2">
        <v>707.0</v>
      </c>
      <c r="L904" s="2">
        <v>440.0</v>
      </c>
      <c r="M904" s="2">
        <v>405.0</v>
      </c>
      <c r="N904" s="2">
        <v>94.0</v>
      </c>
      <c r="O904" s="2">
        <v>120.0</v>
      </c>
      <c r="P904" s="2">
        <v>94.0</v>
      </c>
      <c r="Q904" s="2">
        <v>0.0</v>
      </c>
      <c r="R904" s="2">
        <v>1407.0</v>
      </c>
      <c r="S904" s="2">
        <v>0.0</v>
      </c>
      <c r="T904" s="2">
        <v>1407.0</v>
      </c>
      <c r="U904" s="2">
        <v>0.0</v>
      </c>
      <c r="V904" s="2">
        <v>0.0</v>
      </c>
      <c r="W904" s="2">
        <v>1407.0</v>
      </c>
    </row>
    <row r="905" ht="15.0" customHeight="1">
      <c r="A905" s="2">
        <v>2025.0</v>
      </c>
      <c r="B905" s="2" t="s">
        <v>70</v>
      </c>
      <c r="C905" s="2">
        <v>6.0</v>
      </c>
      <c r="D905" s="2" t="s">
        <v>71</v>
      </c>
      <c r="E905" s="2" t="s">
        <v>61</v>
      </c>
      <c r="F905" s="2" t="s">
        <v>48</v>
      </c>
      <c r="G905" s="2" t="s">
        <v>33</v>
      </c>
      <c r="H905" s="2" t="s">
        <v>28</v>
      </c>
      <c r="I905" s="2" t="s">
        <v>29</v>
      </c>
      <c r="J905" s="2">
        <v>1520.0</v>
      </c>
      <c r="K905" s="2">
        <v>755.0</v>
      </c>
      <c r="L905" s="2">
        <v>325.0</v>
      </c>
      <c r="M905" s="2">
        <v>305.0</v>
      </c>
      <c r="N905" s="2">
        <v>187.0</v>
      </c>
      <c r="O905" s="2">
        <v>237.0</v>
      </c>
      <c r="P905" s="2">
        <v>228.0</v>
      </c>
      <c r="Q905" s="2">
        <v>112.0</v>
      </c>
      <c r="R905" s="2">
        <v>5446.0</v>
      </c>
      <c r="S905" s="2">
        <v>4584.0</v>
      </c>
      <c r="T905" s="2">
        <v>861.0</v>
      </c>
      <c r="U905" s="2">
        <v>4582.0</v>
      </c>
      <c r="V905" s="2">
        <v>2.0</v>
      </c>
      <c r="W905" s="2">
        <v>863.0</v>
      </c>
    </row>
    <row r="906" ht="15.0" customHeight="1">
      <c r="A906" s="2">
        <v>2025.0</v>
      </c>
      <c r="B906" s="2" t="s">
        <v>70</v>
      </c>
      <c r="C906" s="2">
        <v>6.0</v>
      </c>
      <c r="D906" s="2" t="s">
        <v>71</v>
      </c>
      <c r="E906" s="2" t="s">
        <v>61</v>
      </c>
      <c r="F906" s="2" t="s">
        <v>48</v>
      </c>
      <c r="G906" s="2" t="s">
        <v>33</v>
      </c>
      <c r="H906" s="2" t="s">
        <v>28</v>
      </c>
      <c r="I906" s="2" t="s">
        <v>30</v>
      </c>
      <c r="J906" s="2">
        <v>522.0</v>
      </c>
      <c r="K906" s="2">
        <v>186.0</v>
      </c>
      <c r="L906" s="2">
        <v>52.0</v>
      </c>
      <c r="M906" s="2">
        <v>50.0</v>
      </c>
      <c r="N906" s="2">
        <v>23.0</v>
      </c>
      <c r="O906" s="2">
        <v>24.0</v>
      </c>
      <c r="P906" s="2">
        <v>23.0</v>
      </c>
      <c r="Q906" s="2">
        <v>16.0</v>
      </c>
      <c r="R906" s="2">
        <v>521.0</v>
      </c>
      <c r="S906" s="2">
        <v>567.0</v>
      </c>
      <c r="T906" s="2">
        <v>-47.0</v>
      </c>
      <c r="U906" s="2">
        <v>567.0</v>
      </c>
      <c r="V906" s="2">
        <v>0.0</v>
      </c>
      <c r="W906" s="2">
        <v>-47.0</v>
      </c>
    </row>
    <row r="907" ht="15.0" customHeight="1">
      <c r="A907" s="2">
        <v>2025.0</v>
      </c>
      <c r="B907" s="2" t="s">
        <v>70</v>
      </c>
      <c r="C907" s="2">
        <v>6.0</v>
      </c>
      <c r="D907" s="2" t="s">
        <v>71</v>
      </c>
      <c r="E907" s="2" t="s">
        <v>61</v>
      </c>
      <c r="F907" s="2" t="s">
        <v>48</v>
      </c>
      <c r="G907" s="2" t="s">
        <v>33</v>
      </c>
      <c r="H907" s="2" t="s">
        <v>28</v>
      </c>
      <c r="I907" s="2" t="s">
        <v>31</v>
      </c>
      <c r="J907" s="2">
        <v>109.0</v>
      </c>
      <c r="K907" s="2">
        <v>40.0</v>
      </c>
      <c r="L907" s="2">
        <v>12.0</v>
      </c>
      <c r="M907" s="2">
        <v>9.0</v>
      </c>
      <c r="N907" s="2">
        <v>3.0</v>
      </c>
      <c r="O907" s="2">
        <v>5.0</v>
      </c>
      <c r="P907" s="2">
        <v>5.0</v>
      </c>
      <c r="Q907" s="2">
        <v>1.0</v>
      </c>
      <c r="R907" s="2">
        <v>105.0</v>
      </c>
      <c r="S907" s="2">
        <v>0.0</v>
      </c>
      <c r="T907" s="2">
        <v>105.0</v>
      </c>
      <c r="U907" s="2">
        <v>0.0</v>
      </c>
      <c r="V907" s="2">
        <v>0.0</v>
      </c>
      <c r="W907" s="2">
        <v>105.0</v>
      </c>
    </row>
    <row r="908" ht="15.0" customHeight="1">
      <c r="A908" s="2">
        <v>2025.0</v>
      </c>
      <c r="B908" s="2" t="s">
        <v>70</v>
      </c>
      <c r="C908" s="2">
        <v>6.0</v>
      </c>
      <c r="D908" s="2" t="s">
        <v>71</v>
      </c>
      <c r="E908" s="2" t="s">
        <v>61</v>
      </c>
      <c r="F908" s="2" t="s">
        <v>48</v>
      </c>
      <c r="G908" s="2" t="s">
        <v>34</v>
      </c>
      <c r="H908" s="2" t="s">
        <v>35</v>
      </c>
      <c r="I908" s="2" t="s">
        <v>29</v>
      </c>
      <c r="J908" s="2">
        <v>29600.0</v>
      </c>
      <c r="K908" s="2">
        <v>18038.0</v>
      </c>
      <c r="L908" s="2">
        <v>8243.0</v>
      </c>
      <c r="M908" s="2">
        <v>7886.0</v>
      </c>
      <c r="N908" s="2">
        <v>3473.0</v>
      </c>
      <c r="O908" s="2">
        <v>4606.0</v>
      </c>
      <c r="P908" s="2">
        <v>3530.0</v>
      </c>
      <c r="Q908" s="2">
        <v>0.0</v>
      </c>
      <c r="R908" s="2">
        <v>46615.0</v>
      </c>
      <c r="S908" s="2">
        <v>32736.0</v>
      </c>
      <c r="T908" s="2">
        <v>13879.0</v>
      </c>
      <c r="U908" s="2">
        <v>31642.0</v>
      </c>
      <c r="V908" s="2">
        <v>1094.0</v>
      </c>
      <c r="W908" s="2">
        <v>14973.0</v>
      </c>
    </row>
    <row r="909" ht="15.0" customHeight="1">
      <c r="A909" s="2">
        <v>2025.0</v>
      </c>
      <c r="B909" s="2" t="s">
        <v>70</v>
      </c>
      <c r="C909" s="2">
        <v>6.0</v>
      </c>
      <c r="D909" s="2" t="s">
        <v>71</v>
      </c>
      <c r="E909" s="2" t="s">
        <v>61</v>
      </c>
      <c r="F909" s="2" t="s">
        <v>48</v>
      </c>
      <c r="G909" s="2" t="s">
        <v>34</v>
      </c>
      <c r="H909" s="2" t="s">
        <v>35</v>
      </c>
      <c r="I909" s="2" t="s">
        <v>30</v>
      </c>
      <c r="J909" s="2">
        <v>18856.0</v>
      </c>
      <c r="K909" s="2">
        <v>9543.0</v>
      </c>
      <c r="L909" s="2">
        <v>3793.0</v>
      </c>
      <c r="M909" s="2">
        <v>3563.0</v>
      </c>
      <c r="N909" s="2">
        <v>1324.0</v>
      </c>
      <c r="O909" s="2">
        <v>1685.0</v>
      </c>
      <c r="P909" s="2">
        <v>1294.0</v>
      </c>
      <c r="Q909" s="2">
        <v>0.0</v>
      </c>
      <c r="R909" s="2">
        <v>17308.0</v>
      </c>
      <c r="S909" s="2">
        <v>13062.0</v>
      </c>
      <c r="T909" s="2">
        <v>4246.0</v>
      </c>
      <c r="U909" s="2">
        <v>13062.0</v>
      </c>
      <c r="V909" s="2">
        <v>0.0</v>
      </c>
      <c r="W909" s="2">
        <v>4246.0</v>
      </c>
    </row>
    <row r="910" ht="15.0" customHeight="1">
      <c r="A910" s="2">
        <v>2025.0</v>
      </c>
      <c r="B910" s="2" t="s">
        <v>70</v>
      </c>
      <c r="C910" s="2">
        <v>6.0</v>
      </c>
      <c r="D910" s="2" t="s">
        <v>71</v>
      </c>
      <c r="E910" s="2" t="s">
        <v>61</v>
      </c>
      <c r="F910" s="2" t="s">
        <v>48</v>
      </c>
      <c r="G910" s="2" t="s">
        <v>34</v>
      </c>
      <c r="H910" s="2" t="s">
        <v>35</v>
      </c>
      <c r="I910" s="2" t="s">
        <v>31</v>
      </c>
      <c r="J910" s="2">
        <v>1059.0</v>
      </c>
      <c r="K910" s="2">
        <v>597.0</v>
      </c>
      <c r="L910" s="2">
        <v>409.0</v>
      </c>
      <c r="M910" s="2">
        <v>349.0</v>
      </c>
      <c r="N910" s="2">
        <v>159.0</v>
      </c>
      <c r="O910" s="2">
        <v>214.0</v>
      </c>
      <c r="P910" s="2">
        <v>167.0</v>
      </c>
      <c r="Q910" s="2">
        <v>0.0</v>
      </c>
      <c r="R910" s="2">
        <v>2151.0</v>
      </c>
      <c r="S910" s="2">
        <v>0.0</v>
      </c>
      <c r="T910" s="2">
        <v>2151.0</v>
      </c>
      <c r="U910" s="2">
        <v>0.0</v>
      </c>
      <c r="V910" s="2">
        <v>0.0</v>
      </c>
      <c r="W910" s="2">
        <v>2151.0</v>
      </c>
    </row>
    <row r="911" ht="15.0" customHeight="1">
      <c r="A911" s="2">
        <v>2025.0</v>
      </c>
      <c r="B911" s="2" t="s">
        <v>70</v>
      </c>
      <c r="C911" s="2">
        <v>6.0</v>
      </c>
      <c r="D911" s="2" t="s">
        <v>71</v>
      </c>
      <c r="E911" s="2" t="s">
        <v>61</v>
      </c>
      <c r="F911" s="2" t="s">
        <v>48</v>
      </c>
      <c r="G911" s="2" t="s">
        <v>36</v>
      </c>
      <c r="H911" s="2" t="s">
        <v>35</v>
      </c>
      <c r="I911" s="2" t="s">
        <v>29</v>
      </c>
      <c r="J911" s="2">
        <v>11995.0</v>
      </c>
      <c r="K911" s="2">
        <v>6628.0</v>
      </c>
      <c r="L911" s="2">
        <v>3354.0</v>
      </c>
      <c r="M911" s="2">
        <v>3206.0</v>
      </c>
      <c r="N911" s="2">
        <v>2430.0</v>
      </c>
      <c r="O911" s="2">
        <v>4361.0</v>
      </c>
      <c r="P911" s="2">
        <v>3712.0</v>
      </c>
      <c r="Q911" s="2">
        <v>0.0</v>
      </c>
      <c r="R911" s="2">
        <v>44722.0</v>
      </c>
      <c r="S911" s="2">
        <v>25231.0</v>
      </c>
      <c r="T911" s="2">
        <v>19491.0</v>
      </c>
      <c r="U911" s="2">
        <v>23782.0</v>
      </c>
      <c r="V911" s="2">
        <v>1448.0</v>
      </c>
      <c r="W911" s="2">
        <v>20940.0</v>
      </c>
    </row>
    <row r="912" ht="15.0" customHeight="1">
      <c r="A912" s="2">
        <v>2025.0</v>
      </c>
      <c r="B912" s="2" t="s">
        <v>70</v>
      </c>
      <c r="C912" s="2">
        <v>6.0</v>
      </c>
      <c r="D912" s="2" t="s">
        <v>71</v>
      </c>
      <c r="E912" s="2" t="s">
        <v>61</v>
      </c>
      <c r="F912" s="2" t="s">
        <v>48</v>
      </c>
      <c r="G912" s="2" t="s">
        <v>36</v>
      </c>
      <c r="H912" s="2" t="s">
        <v>35</v>
      </c>
      <c r="I912" s="2" t="s">
        <v>30</v>
      </c>
      <c r="J912" s="2">
        <v>4288.0</v>
      </c>
      <c r="K912" s="2">
        <v>1678.0</v>
      </c>
      <c r="L912" s="2">
        <v>881.0</v>
      </c>
      <c r="M912" s="2">
        <v>840.0</v>
      </c>
      <c r="N912" s="2">
        <v>637.0</v>
      </c>
      <c r="O912" s="2">
        <v>1128.0</v>
      </c>
      <c r="P912" s="2">
        <v>965.0</v>
      </c>
      <c r="Q912" s="2">
        <v>0.0</v>
      </c>
      <c r="R912" s="2">
        <v>12297.0</v>
      </c>
      <c r="S912" s="2">
        <v>9493.0</v>
      </c>
      <c r="T912" s="2">
        <v>2803.0</v>
      </c>
      <c r="U912" s="2">
        <v>9493.0</v>
      </c>
      <c r="V912" s="2">
        <v>0.0</v>
      </c>
      <c r="W912" s="2">
        <v>2803.0</v>
      </c>
    </row>
    <row r="913" ht="15.0" customHeight="1">
      <c r="A913" s="2">
        <v>2025.0</v>
      </c>
      <c r="B913" s="2" t="s">
        <v>70</v>
      </c>
      <c r="C913" s="2">
        <v>6.0</v>
      </c>
      <c r="D913" s="2" t="s">
        <v>71</v>
      </c>
      <c r="E913" s="2" t="s">
        <v>61</v>
      </c>
      <c r="F913" s="2" t="s">
        <v>48</v>
      </c>
      <c r="G913" s="2" t="s">
        <v>36</v>
      </c>
      <c r="H913" s="2" t="s">
        <v>35</v>
      </c>
      <c r="I913" s="2" t="s">
        <v>31</v>
      </c>
      <c r="J913" s="2">
        <v>842.0</v>
      </c>
      <c r="K913" s="2">
        <v>546.0</v>
      </c>
      <c r="L913" s="2">
        <v>361.0</v>
      </c>
      <c r="M913" s="2">
        <v>330.0</v>
      </c>
      <c r="N913" s="2">
        <v>250.0</v>
      </c>
      <c r="O913" s="2">
        <v>428.0</v>
      </c>
      <c r="P913" s="2">
        <v>374.0</v>
      </c>
      <c r="Q913" s="2">
        <v>0.0</v>
      </c>
      <c r="R913" s="2">
        <v>4458.0</v>
      </c>
      <c r="S913" s="2">
        <v>0.0</v>
      </c>
      <c r="T913" s="2">
        <v>4458.0</v>
      </c>
      <c r="U913" s="2">
        <v>0.0</v>
      </c>
      <c r="V913" s="2">
        <v>0.0</v>
      </c>
      <c r="W913" s="2">
        <v>4458.0</v>
      </c>
    </row>
    <row r="914" ht="15.0" customHeight="1">
      <c r="A914" s="2">
        <v>2025.0</v>
      </c>
      <c r="B914" s="2" t="s">
        <v>70</v>
      </c>
      <c r="C914" s="2">
        <v>6.0</v>
      </c>
      <c r="D914" s="2" t="s">
        <v>71</v>
      </c>
      <c r="E914" s="2" t="s">
        <v>61</v>
      </c>
      <c r="F914" s="2" t="s">
        <v>48</v>
      </c>
      <c r="G914" s="2" t="s">
        <v>37</v>
      </c>
      <c r="H914" s="2" t="s">
        <v>35</v>
      </c>
      <c r="I914" s="2" t="s">
        <v>29</v>
      </c>
      <c r="J914" s="2">
        <v>3193.0</v>
      </c>
      <c r="K914" s="2">
        <v>1627.0</v>
      </c>
      <c r="L914" s="2">
        <v>642.0</v>
      </c>
      <c r="M914" s="2">
        <v>609.0</v>
      </c>
      <c r="N914" s="2">
        <v>544.0</v>
      </c>
      <c r="O914" s="2">
        <v>1599.0</v>
      </c>
      <c r="P914" s="2">
        <v>1276.0</v>
      </c>
      <c r="Q914" s="2">
        <v>81.0</v>
      </c>
      <c r="R914" s="2">
        <v>30171.0</v>
      </c>
      <c r="S914" s="2">
        <v>14047.0</v>
      </c>
      <c r="T914" s="2">
        <v>16123.0</v>
      </c>
      <c r="U914" s="2">
        <v>14047.0</v>
      </c>
      <c r="V914" s="2">
        <v>0.0</v>
      </c>
      <c r="W914" s="2">
        <v>16123.0</v>
      </c>
    </row>
    <row r="915" ht="15.0" customHeight="1">
      <c r="A915" s="2">
        <v>2025.0</v>
      </c>
      <c r="B915" s="2" t="s">
        <v>70</v>
      </c>
      <c r="C915" s="2">
        <v>6.0</v>
      </c>
      <c r="D915" s="2" t="s">
        <v>71</v>
      </c>
      <c r="E915" s="2" t="s">
        <v>61</v>
      </c>
      <c r="F915" s="2" t="s">
        <v>48</v>
      </c>
      <c r="G915" s="2" t="s">
        <v>37</v>
      </c>
      <c r="H915" s="2" t="s">
        <v>35</v>
      </c>
      <c r="I915" s="2" t="s">
        <v>30</v>
      </c>
      <c r="J915" s="2">
        <v>2751.0</v>
      </c>
      <c r="K915" s="2">
        <v>864.0</v>
      </c>
      <c r="L915" s="2">
        <v>298.0</v>
      </c>
      <c r="M915" s="2">
        <v>265.0</v>
      </c>
      <c r="N915" s="2">
        <v>238.0</v>
      </c>
      <c r="O915" s="2">
        <v>635.0</v>
      </c>
      <c r="P915" s="2">
        <v>489.0</v>
      </c>
      <c r="Q915" s="2">
        <v>35.0</v>
      </c>
      <c r="R915" s="2">
        <v>11736.0</v>
      </c>
      <c r="S915" s="2">
        <v>10502.0</v>
      </c>
      <c r="T915" s="2">
        <v>1234.0</v>
      </c>
      <c r="U915" s="2">
        <v>10502.0</v>
      </c>
      <c r="V915" s="2">
        <v>0.0</v>
      </c>
      <c r="W915" s="2">
        <v>1234.0</v>
      </c>
    </row>
    <row r="916" ht="15.0" customHeight="1">
      <c r="A916" s="2">
        <v>2025.0</v>
      </c>
      <c r="B916" s="2" t="s">
        <v>70</v>
      </c>
      <c r="C916" s="2">
        <v>6.0</v>
      </c>
      <c r="D916" s="2" t="s">
        <v>71</v>
      </c>
      <c r="E916" s="2" t="s">
        <v>61</v>
      </c>
      <c r="F916" s="2" t="s">
        <v>48</v>
      </c>
      <c r="G916" s="2" t="s">
        <v>37</v>
      </c>
      <c r="H916" s="2" t="s">
        <v>35</v>
      </c>
      <c r="I916" s="2" t="s">
        <v>31</v>
      </c>
      <c r="J916" s="2">
        <v>130.0</v>
      </c>
      <c r="K916" s="2">
        <v>85.0</v>
      </c>
      <c r="L916" s="2">
        <v>48.0</v>
      </c>
      <c r="M916" s="2">
        <v>41.0</v>
      </c>
      <c r="N916" s="2">
        <v>38.0</v>
      </c>
      <c r="O916" s="2">
        <v>115.0</v>
      </c>
      <c r="P916" s="2">
        <v>98.0</v>
      </c>
      <c r="Q916" s="2">
        <v>8.0</v>
      </c>
      <c r="R916" s="2">
        <v>2409.0</v>
      </c>
      <c r="S916" s="2">
        <v>0.0</v>
      </c>
      <c r="T916" s="2">
        <v>2409.0</v>
      </c>
      <c r="U916" s="2">
        <v>0.0</v>
      </c>
      <c r="V916" s="2">
        <v>0.0</v>
      </c>
      <c r="W916" s="2">
        <v>2409.0</v>
      </c>
    </row>
    <row r="917" ht="15.0" customHeight="1">
      <c r="A917" s="2">
        <v>2025.0</v>
      </c>
      <c r="B917" s="2" t="s">
        <v>70</v>
      </c>
      <c r="C917" s="2">
        <v>6.0</v>
      </c>
      <c r="D917" s="2" t="s">
        <v>71</v>
      </c>
      <c r="E917" s="2" t="s">
        <v>61</v>
      </c>
      <c r="F917" s="2" t="s">
        <v>48</v>
      </c>
      <c r="G917" s="2" t="s">
        <v>38</v>
      </c>
      <c r="H917" s="2" t="s">
        <v>35</v>
      </c>
      <c r="I917" s="2" t="s">
        <v>29</v>
      </c>
      <c r="J917" s="2">
        <v>2102.0</v>
      </c>
      <c r="K917" s="2">
        <v>1089.0</v>
      </c>
      <c r="L917" s="2">
        <v>577.0</v>
      </c>
      <c r="M917" s="2">
        <v>549.0</v>
      </c>
      <c r="N917" s="2">
        <v>302.0</v>
      </c>
      <c r="O917" s="2">
        <v>416.0</v>
      </c>
      <c r="P917" s="2">
        <v>304.0</v>
      </c>
      <c r="Q917" s="2">
        <v>90.0</v>
      </c>
      <c r="R917" s="2">
        <v>5373.0</v>
      </c>
      <c r="S917" s="2">
        <v>2936.0</v>
      </c>
      <c r="T917" s="2">
        <v>2437.0</v>
      </c>
      <c r="U917" s="2">
        <v>2847.0</v>
      </c>
      <c r="V917" s="2">
        <v>89.0</v>
      </c>
      <c r="W917" s="2">
        <v>2526.0</v>
      </c>
    </row>
    <row r="918" ht="15.0" customHeight="1">
      <c r="A918" s="2">
        <v>2025.0</v>
      </c>
      <c r="B918" s="2" t="s">
        <v>70</v>
      </c>
      <c r="C918" s="2">
        <v>6.0</v>
      </c>
      <c r="D918" s="2" t="s">
        <v>71</v>
      </c>
      <c r="E918" s="2" t="s">
        <v>61</v>
      </c>
      <c r="F918" s="2" t="s">
        <v>48</v>
      </c>
      <c r="G918" s="2" t="s">
        <v>38</v>
      </c>
      <c r="H918" s="2" t="s">
        <v>35</v>
      </c>
      <c r="I918" s="2" t="s">
        <v>30</v>
      </c>
      <c r="J918" s="2">
        <v>8687.0</v>
      </c>
      <c r="K918" s="2">
        <v>3099.0</v>
      </c>
      <c r="L918" s="2">
        <v>2154.0</v>
      </c>
      <c r="M918" s="2">
        <v>2066.0</v>
      </c>
      <c r="N918" s="2">
        <v>1156.0</v>
      </c>
      <c r="O918" s="2">
        <v>1580.0</v>
      </c>
      <c r="P918" s="2">
        <v>1206.0</v>
      </c>
      <c r="Q918" s="2">
        <v>407.0</v>
      </c>
      <c r="R918" s="2">
        <v>20455.0</v>
      </c>
      <c r="S918" s="2">
        <v>16859.0</v>
      </c>
      <c r="T918" s="2">
        <v>3597.0</v>
      </c>
      <c r="U918" s="2">
        <v>16859.0</v>
      </c>
      <c r="V918" s="2">
        <v>0.0</v>
      </c>
      <c r="W918" s="2">
        <v>3597.0</v>
      </c>
    </row>
    <row r="919" ht="15.0" customHeight="1">
      <c r="A919" s="2">
        <v>2025.0</v>
      </c>
      <c r="B919" s="2" t="s">
        <v>70</v>
      </c>
      <c r="C919" s="2">
        <v>6.0</v>
      </c>
      <c r="D919" s="2" t="s">
        <v>71</v>
      </c>
      <c r="E919" s="2" t="s">
        <v>61</v>
      </c>
      <c r="F919" s="2" t="s">
        <v>48</v>
      </c>
      <c r="G919" s="2" t="s">
        <v>38</v>
      </c>
      <c r="H919" s="2" t="s">
        <v>35</v>
      </c>
      <c r="I919" s="2" t="s">
        <v>31</v>
      </c>
      <c r="J919" s="2">
        <v>903.0</v>
      </c>
      <c r="K919" s="2">
        <v>632.0</v>
      </c>
      <c r="L919" s="2">
        <v>490.0</v>
      </c>
      <c r="M919" s="2">
        <v>447.0</v>
      </c>
      <c r="N919" s="2">
        <v>240.0</v>
      </c>
      <c r="O919" s="2">
        <v>328.0</v>
      </c>
      <c r="P919" s="2">
        <v>252.0</v>
      </c>
      <c r="Q919" s="2">
        <v>72.0</v>
      </c>
      <c r="R919" s="2">
        <v>4416.0</v>
      </c>
      <c r="S919" s="2">
        <v>0.0</v>
      </c>
      <c r="T919" s="2">
        <v>4416.0</v>
      </c>
      <c r="U919" s="2">
        <v>0.0</v>
      </c>
      <c r="V919" s="2">
        <v>0.0</v>
      </c>
      <c r="W919" s="2">
        <v>4416.0</v>
      </c>
    </row>
    <row r="920" ht="15.0" customHeight="1">
      <c r="A920" s="2">
        <v>2025.0</v>
      </c>
      <c r="B920" s="2" t="s">
        <v>70</v>
      </c>
      <c r="C920" s="2">
        <v>6.0</v>
      </c>
      <c r="D920" s="2" t="s">
        <v>71</v>
      </c>
      <c r="E920" s="2" t="s">
        <v>61</v>
      </c>
      <c r="F920" s="2" t="s">
        <v>48</v>
      </c>
      <c r="G920" s="2" t="s">
        <v>39</v>
      </c>
      <c r="H920" s="2" t="s">
        <v>40</v>
      </c>
      <c r="I920" s="2" t="s">
        <v>29</v>
      </c>
      <c r="J920" s="2">
        <v>21918.0</v>
      </c>
      <c r="K920" s="2">
        <v>13066.0</v>
      </c>
      <c r="L920" s="2">
        <v>6252.0</v>
      </c>
      <c r="M920" s="2">
        <v>5891.0</v>
      </c>
      <c r="N920" s="2">
        <v>4998.0</v>
      </c>
      <c r="O920" s="2">
        <v>8118.0</v>
      </c>
      <c r="P920" s="2">
        <v>7683.0</v>
      </c>
      <c r="Q920" s="2">
        <v>5781.0</v>
      </c>
      <c r="R920" s="2">
        <v>43927.0</v>
      </c>
      <c r="S920" s="2">
        <v>30026.0</v>
      </c>
      <c r="T920" s="2">
        <v>13900.0</v>
      </c>
      <c r="U920" s="2">
        <v>28925.0</v>
      </c>
      <c r="V920" s="2">
        <v>1101.0</v>
      </c>
      <c r="W920" s="2">
        <v>15002.0</v>
      </c>
    </row>
    <row r="921" ht="15.0" customHeight="1">
      <c r="A921" s="2">
        <v>2025.0</v>
      </c>
      <c r="B921" s="2" t="s">
        <v>70</v>
      </c>
      <c r="C921" s="2">
        <v>6.0</v>
      </c>
      <c r="D921" s="2" t="s">
        <v>71</v>
      </c>
      <c r="E921" s="2" t="s">
        <v>61</v>
      </c>
      <c r="F921" s="2" t="s">
        <v>48</v>
      </c>
      <c r="G921" s="2" t="s">
        <v>39</v>
      </c>
      <c r="H921" s="2" t="s">
        <v>40</v>
      </c>
      <c r="I921" s="2" t="s">
        <v>30</v>
      </c>
      <c r="J921" s="2">
        <v>8892.0</v>
      </c>
      <c r="K921" s="2">
        <v>3824.0</v>
      </c>
      <c r="L921" s="2">
        <v>1635.0</v>
      </c>
      <c r="M921" s="2">
        <v>1534.0</v>
      </c>
      <c r="N921" s="2">
        <v>1313.0</v>
      </c>
      <c r="O921" s="2">
        <v>2214.0</v>
      </c>
      <c r="P921" s="2">
        <v>2090.0</v>
      </c>
      <c r="Q921" s="2">
        <v>1484.0</v>
      </c>
      <c r="R921" s="2">
        <v>12654.0</v>
      </c>
      <c r="S921" s="2">
        <v>10239.0</v>
      </c>
      <c r="T921" s="2">
        <v>2415.0</v>
      </c>
      <c r="U921" s="2">
        <v>10239.0</v>
      </c>
      <c r="V921" s="2">
        <v>0.0</v>
      </c>
      <c r="W921" s="2">
        <v>2415.0</v>
      </c>
    </row>
    <row r="922" ht="15.0" customHeight="1">
      <c r="A922" s="2">
        <v>2025.0</v>
      </c>
      <c r="B922" s="2" t="s">
        <v>70</v>
      </c>
      <c r="C922" s="2">
        <v>6.0</v>
      </c>
      <c r="D922" s="2" t="s">
        <v>71</v>
      </c>
      <c r="E922" s="2" t="s">
        <v>61</v>
      </c>
      <c r="F922" s="2" t="s">
        <v>48</v>
      </c>
      <c r="G922" s="2" t="s">
        <v>39</v>
      </c>
      <c r="H922" s="2" t="s">
        <v>40</v>
      </c>
      <c r="I922" s="2" t="s">
        <v>31</v>
      </c>
      <c r="J922" s="2">
        <v>2201.0</v>
      </c>
      <c r="K922" s="2">
        <v>1517.0</v>
      </c>
      <c r="L922" s="2">
        <v>845.0</v>
      </c>
      <c r="M922" s="2">
        <v>731.0</v>
      </c>
      <c r="N922" s="2">
        <v>639.0</v>
      </c>
      <c r="O922" s="2">
        <v>1059.0</v>
      </c>
      <c r="P922" s="2">
        <v>1004.0</v>
      </c>
      <c r="Q922" s="2">
        <v>688.0</v>
      </c>
      <c r="R922" s="2">
        <v>6196.0</v>
      </c>
      <c r="S922" s="2">
        <v>0.0</v>
      </c>
      <c r="T922" s="2">
        <v>6196.0</v>
      </c>
      <c r="U922" s="2">
        <v>0.0</v>
      </c>
      <c r="V922" s="2">
        <v>0.0</v>
      </c>
      <c r="W922" s="2">
        <v>6196.0</v>
      </c>
    </row>
    <row r="923" ht="15.0" customHeight="1">
      <c r="A923" s="2">
        <v>2025.0</v>
      </c>
      <c r="B923" s="2" t="s">
        <v>70</v>
      </c>
      <c r="C923" s="2">
        <v>6.0</v>
      </c>
      <c r="D923" s="2" t="s">
        <v>71</v>
      </c>
      <c r="E923" s="2" t="s">
        <v>61</v>
      </c>
      <c r="F923" s="2" t="s">
        <v>48</v>
      </c>
      <c r="G923" s="2" t="s">
        <v>41</v>
      </c>
      <c r="H923" s="2" t="s">
        <v>42</v>
      </c>
      <c r="I923" s="2" t="s">
        <v>29</v>
      </c>
      <c r="J923" s="2">
        <v>24967.0</v>
      </c>
      <c r="K923" s="2">
        <v>15258.0</v>
      </c>
      <c r="L923" s="2">
        <v>2969.0</v>
      </c>
      <c r="M923" s="2">
        <v>2663.0</v>
      </c>
      <c r="N923" s="2">
        <v>1481.0</v>
      </c>
      <c r="O923" s="2">
        <v>2058.0</v>
      </c>
      <c r="P923" s="2">
        <v>1516.0</v>
      </c>
      <c r="Q923" s="2">
        <v>0.0</v>
      </c>
      <c r="R923" s="2">
        <v>11645.0</v>
      </c>
      <c r="S923" s="2">
        <v>12480.0</v>
      </c>
      <c r="T923" s="2">
        <v>-836.0</v>
      </c>
      <c r="U923" s="2">
        <v>8143.0</v>
      </c>
      <c r="V923" s="2">
        <v>4338.0</v>
      </c>
      <c r="W923" s="2">
        <v>3502.0</v>
      </c>
    </row>
    <row r="924" ht="15.0" customHeight="1">
      <c r="A924" s="2">
        <v>2025.0</v>
      </c>
      <c r="B924" s="2" t="s">
        <v>70</v>
      </c>
      <c r="C924" s="2">
        <v>6.0</v>
      </c>
      <c r="D924" s="2" t="s">
        <v>71</v>
      </c>
      <c r="E924" s="2" t="s">
        <v>61</v>
      </c>
      <c r="F924" s="2" t="s">
        <v>48</v>
      </c>
      <c r="G924" s="2" t="s">
        <v>41</v>
      </c>
      <c r="H924" s="2" t="s">
        <v>42</v>
      </c>
      <c r="I924" s="2" t="s">
        <v>30</v>
      </c>
      <c r="J924" s="2">
        <v>5682.0</v>
      </c>
      <c r="K924" s="2">
        <v>3208.0</v>
      </c>
      <c r="L924" s="2">
        <v>1785.0</v>
      </c>
      <c r="M924" s="2">
        <v>1661.0</v>
      </c>
      <c r="N924" s="2">
        <v>852.0</v>
      </c>
      <c r="O924" s="2">
        <v>1218.0</v>
      </c>
      <c r="P924" s="2">
        <v>909.0</v>
      </c>
      <c r="Q924" s="2">
        <v>0.0</v>
      </c>
      <c r="R924" s="2">
        <v>6960.0</v>
      </c>
      <c r="S924" s="2">
        <v>5036.0</v>
      </c>
      <c r="T924" s="2">
        <v>1924.0</v>
      </c>
      <c r="U924" s="2">
        <v>5036.0</v>
      </c>
      <c r="V924" s="2">
        <v>0.0</v>
      </c>
      <c r="W924" s="2">
        <v>1924.0</v>
      </c>
    </row>
    <row r="925" ht="15.0" customHeight="1">
      <c r="A925" s="2">
        <v>2025.0</v>
      </c>
      <c r="B925" s="2" t="s">
        <v>70</v>
      </c>
      <c r="C925" s="2">
        <v>6.0</v>
      </c>
      <c r="D925" s="2" t="s">
        <v>71</v>
      </c>
      <c r="E925" s="2" t="s">
        <v>61</v>
      </c>
      <c r="F925" s="2" t="s">
        <v>48</v>
      </c>
      <c r="G925" s="2" t="s">
        <v>41</v>
      </c>
      <c r="H925" s="2" t="s">
        <v>42</v>
      </c>
      <c r="I925" s="2" t="s">
        <v>31</v>
      </c>
      <c r="J925" s="2">
        <v>5382.0</v>
      </c>
      <c r="K925" s="2">
        <v>3495.0</v>
      </c>
      <c r="L925" s="2">
        <v>3033.0</v>
      </c>
      <c r="M925" s="2">
        <v>2249.0</v>
      </c>
      <c r="N925" s="2">
        <v>1008.0</v>
      </c>
      <c r="O925" s="2">
        <v>1498.0</v>
      </c>
      <c r="P925" s="2">
        <v>1140.0</v>
      </c>
      <c r="Q925" s="2">
        <v>0.0</v>
      </c>
      <c r="R925" s="2">
        <v>9603.0</v>
      </c>
      <c r="S925" s="2">
        <v>21.0</v>
      </c>
      <c r="T925" s="2">
        <v>9582.0</v>
      </c>
      <c r="U925" s="2">
        <v>21.0</v>
      </c>
      <c r="V925" s="2">
        <v>0.0</v>
      </c>
      <c r="W925" s="2">
        <v>9582.0</v>
      </c>
    </row>
    <row r="926" ht="15.0" customHeight="1">
      <c r="A926" s="2">
        <v>2025.0</v>
      </c>
      <c r="B926" s="2" t="s">
        <v>70</v>
      </c>
      <c r="C926" s="2">
        <v>6.0</v>
      </c>
      <c r="D926" s="2" t="s">
        <v>71</v>
      </c>
      <c r="E926" s="2" t="s">
        <v>61</v>
      </c>
      <c r="F926" s="2" t="s">
        <v>48</v>
      </c>
      <c r="G926" s="2" t="s">
        <v>43</v>
      </c>
      <c r="H926" s="2" t="s">
        <v>42</v>
      </c>
      <c r="I926" s="2" t="s">
        <v>29</v>
      </c>
      <c r="J926" s="2">
        <v>19780.0</v>
      </c>
      <c r="K926" s="2">
        <v>9031.0</v>
      </c>
      <c r="L926" s="2">
        <v>4368.0</v>
      </c>
      <c r="M926" s="2">
        <v>4052.0</v>
      </c>
      <c r="N926" s="2">
        <v>1363.0</v>
      </c>
      <c r="O926" s="2">
        <v>2461.0</v>
      </c>
      <c r="P926" s="2">
        <v>2110.0</v>
      </c>
      <c r="Q926" s="2">
        <v>0.0</v>
      </c>
      <c r="R926" s="2">
        <v>80626.0</v>
      </c>
      <c r="S926" s="2">
        <v>57545.0</v>
      </c>
      <c r="T926" s="2">
        <v>23081.0</v>
      </c>
      <c r="U926" s="2">
        <v>55624.0</v>
      </c>
      <c r="V926" s="2">
        <v>1921.0</v>
      </c>
      <c r="W926" s="2">
        <v>25003.0</v>
      </c>
    </row>
    <row r="927" ht="15.0" customHeight="1">
      <c r="A927" s="2">
        <v>2025.0</v>
      </c>
      <c r="B927" s="2" t="s">
        <v>70</v>
      </c>
      <c r="C927" s="2">
        <v>6.0</v>
      </c>
      <c r="D927" s="2" t="s">
        <v>71</v>
      </c>
      <c r="E927" s="2" t="s">
        <v>61</v>
      </c>
      <c r="F927" s="2" t="s">
        <v>48</v>
      </c>
      <c r="G927" s="2" t="s">
        <v>43</v>
      </c>
      <c r="H927" s="2" t="s">
        <v>42</v>
      </c>
      <c r="I927" s="2" t="s">
        <v>30</v>
      </c>
      <c r="J927" s="2">
        <v>6772.0</v>
      </c>
      <c r="K927" s="2">
        <v>2515.0</v>
      </c>
      <c r="L927" s="2">
        <v>1351.0</v>
      </c>
      <c r="M927" s="2">
        <v>1241.0</v>
      </c>
      <c r="N927" s="2">
        <v>356.0</v>
      </c>
      <c r="O927" s="2">
        <v>720.0</v>
      </c>
      <c r="P927" s="2">
        <v>642.0</v>
      </c>
      <c r="Q927" s="2">
        <v>0.0</v>
      </c>
      <c r="R927" s="2">
        <v>23723.0</v>
      </c>
      <c r="S927" s="2">
        <v>18013.0</v>
      </c>
      <c r="T927" s="2">
        <v>5710.0</v>
      </c>
      <c r="U927" s="2">
        <v>18013.0</v>
      </c>
      <c r="V927" s="2">
        <v>0.0</v>
      </c>
      <c r="W927" s="2">
        <v>5710.0</v>
      </c>
    </row>
    <row r="928" ht="15.0" customHeight="1">
      <c r="A928" s="2">
        <v>2025.0</v>
      </c>
      <c r="B928" s="2" t="s">
        <v>70</v>
      </c>
      <c r="C928" s="2">
        <v>6.0</v>
      </c>
      <c r="D928" s="2" t="s">
        <v>71</v>
      </c>
      <c r="E928" s="2" t="s">
        <v>61</v>
      </c>
      <c r="F928" s="2" t="s">
        <v>48</v>
      </c>
      <c r="G928" s="2" t="s">
        <v>43</v>
      </c>
      <c r="H928" s="2" t="s">
        <v>42</v>
      </c>
      <c r="I928" s="2" t="s">
        <v>31</v>
      </c>
      <c r="J928" s="2">
        <v>680.0</v>
      </c>
      <c r="K928" s="2">
        <v>447.0</v>
      </c>
      <c r="L928" s="2">
        <v>326.0</v>
      </c>
      <c r="M928" s="2">
        <v>257.0</v>
      </c>
      <c r="N928" s="2">
        <v>99.0</v>
      </c>
      <c r="O928" s="2">
        <v>229.0</v>
      </c>
      <c r="P928" s="2">
        <v>204.0</v>
      </c>
      <c r="Q928" s="2">
        <v>0.0</v>
      </c>
      <c r="R928" s="2">
        <v>8929.0</v>
      </c>
      <c r="S928" s="2">
        <v>66.0</v>
      </c>
      <c r="T928" s="2">
        <v>8862.0</v>
      </c>
      <c r="U928" s="2">
        <v>66.0</v>
      </c>
      <c r="V928" s="2">
        <v>0.0</v>
      </c>
      <c r="W928" s="2">
        <v>8862.0</v>
      </c>
    </row>
    <row r="929" ht="15.0" customHeight="1">
      <c r="A929" s="2">
        <v>2025.0</v>
      </c>
      <c r="B929" s="2" t="s">
        <v>70</v>
      </c>
      <c r="C929" s="2">
        <v>6.0</v>
      </c>
      <c r="D929" s="2" t="s">
        <v>71</v>
      </c>
      <c r="E929" s="2" t="s">
        <v>61</v>
      </c>
      <c r="F929" s="2" t="s">
        <v>48</v>
      </c>
      <c r="G929" s="2" t="s">
        <v>44</v>
      </c>
      <c r="H929" s="2" t="s">
        <v>45</v>
      </c>
      <c r="I929" s="2" t="s">
        <v>29</v>
      </c>
      <c r="J929" s="2">
        <v>1645.0</v>
      </c>
      <c r="K929" s="2">
        <v>824.0</v>
      </c>
      <c r="L929" s="2">
        <v>236.0</v>
      </c>
      <c r="M929" s="2">
        <v>222.0</v>
      </c>
      <c r="N929" s="2">
        <v>198.0</v>
      </c>
      <c r="O929" s="2">
        <v>371.0</v>
      </c>
      <c r="P929" s="2">
        <v>308.0</v>
      </c>
      <c r="Q929" s="2">
        <v>132.0</v>
      </c>
      <c r="R929" s="2">
        <v>6828.0</v>
      </c>
      <c r="S929" s="2">
        <v>6080.0</v>
      </c>
      <c r="T929" s="2">
        <v>748.0</v>
      </c>
      <c r="U929" s="2">
        <v>5174.0</v>
      </c>
      <c r="V929" s="2">
        <v>906.0</v>
      </c>
      <c r="W929" s="2">
        <v>1654.0</v>
      </c>
    </row>
    <row r="930" ht="15.0" customHeight="1">
      <c r="A930" s="2">
        <v>2025.0</v>
      </c>
      <c r="B930" s="2" t="s">
        <v>70</v>
      </c>
      <c r="C930" s="2">
        <v>6.0</v>
      </c>
      <c r="D930" s="2" t="s">
        <v>71</v>
      </c>
      <c r="E930" s="2" t="s">
        <v>61</v>
      </c>
      <c r="F930" s="2" t="s">
        <v>48</v>
      </c>
      <c r="G930" s="2" t="s">
        <v>44</v>
      </c>
      <c r="H930" s="2" t="s">
        <v>45</v>
      </c>
      <c r="I930" s="2" t="s">
        <v>30</v>
      </c>
      <c r="J930" s="2">
        <v>4282.0</v>
      </c>
      <c r="K930" s="2">
        <v>1990.0</v>
      </c>
      <c r="L930" s="2">
        <v>518.0</v>
      </c>
      <c r="M930" s="2">
        <v>471.0</v>
      </c>
      <c r="N930" s="2">
        <v>375.0</v>
      </c>
      <c r="O930" s="2">
        <v>710.0</v>
      </c>
      <c r="P930" s="2">
        <v>587.0</v>
      </c>
      <c r="Q930" s="2">
        <v>238.0</v>
      </c>
      <c r="R930" s="2">
        <v>13006.0</v>
      </c>
      <c r="S930" s="2">
        <v>10403.0</v>
      </c>
      <c r="T930" s="2">
        <v>2603.0</v>
      </c>
      <c r="U930" s="2">
        <v>10403.0</v>
      </c>
      <c r="V930" s="2">
        <v>0.0</v>
      </c>
      <c r="W930" s="2">
        <v>2603.0</v>
      </c>
    </row>
    <row r="931" ht="15.0" customHeight="1">
      <c r="A931" s="2">
        <v>2025.0</v>
      </c>
      <c r="B931" s="2" t="s">
        <v>70</v>
      </c>
      <c r="C931" s="2">
        <v>6.0</v>
      </c>
      <c r="D931" s="2" t="s">
        <v>71</v>
      </c>
      <c r="E931" s="2" t="s">
        <v>61</v>
      </c>
      <c r="F931" s="2" t="s">
        <v>48</v>
      </c>
      <c r="G931" s="2" t="s">
        <v>44</v>
      </c>
      <c r="H931" s="2" t="s">
        <v>45</v>
      </c>
      <c r="I931" s="2" t="s">
        <v>31</v>
      </c>
      <c r="J931" s="2">
        <v>346.0</v>
      </c>
      <c r="K931" s="2">
        <v>247.0</v>
      </c>
      <c r="L931" s="2">
        <v>165.0</v>
      </c>
      <c r="M931" s="2">
        <v>84.0</v>
      </c>
      <c r="N931" s="2">
        <v>79.0</v>
      </c>
      <c r="O931" s="2">
        <v>294.0</v>
      </c>
      <c r="P931" s="2">
        <v>261.0</v>
      </c>
      <c r="Q931" s="2">
        <v>99.0</v>
      </c>
      <c r="R931" s="2">
        <v>5986.0</v>
      </c>
      <c r="S931" s="2">
        <v>18.0</v>
      </c>
      <c r="T931" s="2">
        <v>5967.0</v>
      </c>
      <c r="U931" s="2">
        <v>18.0</v>
      </c>
      <c r="V931" s="2">
        <v>0.0</v>
      </c>
      <c r="W931" s="2">
        <v>5967.0</v>
      </c>
    </row>
    <row r="932" ht="15.0" customHeight="1">
      <c r="A932" s="2">
        <v>2025.0</v>
      </c>
      <c r="B932" s="2" t="s">
        <v>70</v>
      </c>
      <c r="C932" s="2">
        <v>6.0</v>
      </c>
      <c r="D932" s="2" t="s">
        <v>71</v>
      </c>
      <c r="E932" s="2" t="s">
        <v>61</v>
      </c>
      <c r="F932" s="2" t="s">
        <v>48</v>
      </c>
      <c r="G932" s="2" t="s">
        <v>46</v>
      </c>
      <c r="H932" s="2" t="s">
        <v>47</v>
      </c>
      <c r="I932" s="2" t="s">
        <v>29</v>
      </c>
      <c r="J932" s="2">
        <v>10426.0</v>
      </c>
      <c r="K932" s="2">
        <v>4599.0</v>
      </c>
      <c r="L932" s="2">
        <v>1520.0</v>
      </c>
      <c r="M932" s="2">
        <v>1418.0</v>
      </c>
      <c r="N932" s="2">
        <v>1242.0</v>
      </c>
      <c r="O932" s="2">
        <v>2346.0</v>
      </c>
      <c r="P932" s="2">
        <v>1926.0</v>
      </c>
      <c r="Q932" s="2">
        <v>928.0</v>
      </c>
      <c r="R932" s="2">
        <v>68537.0</v>
      </c>
      <c r="S932" s="2">
        <v>46000.0</v>
      </c>
      <c r="T932" s="2">
        <v>22537.0</v>
      </c>
      <c r="U932" s="2">
        <v>45542.0</v>
      </c>
      <c r="V932" s="2">
        <v>458.0</v>
      </c>
      <c r="W932" s="2">
        <v>22995.0</v>
      </c>
    </row>
    <row r="933" ht="15.0" customHeight="1">
      <c r="A933" s="2">
        <v>2025.0</v>
      </c>
      <c r="B933" s="2" t="s">
        <v>70</v>
      </c>
      <c r="C933" s="2">
        <v>6.0</v>
      </c>
      <c r="D933" s="2" t="s">
        <v>71</v>
      </c>
      <c r="E933" s="2" t="s">
        <v>61</v>
      </c>
      <c r="F933" s="2" t="s">
        <v>48</v>
      </c>
      <c r="G933" s="2" t="s">
        <v>46</v>
      </c>
      <c r="H933" s="2" t="s">
        <v>47</v>
      </c>
      <c r="I933" s="2" t="s">
        <v>30</v>
      </c>
      <c r="J933" s="2">
        <v>5434.0</v>
      </c>
      <c r="K933" s="2">
        <v>1452.0</v>
      </c>
      <c r="L933" s="2">
        <v>627.0</v>
      </c>
      <c r="M933" s="2">
        <v>594.0</v>
      </c>
      <c r="N933" s="2">
        <v>551.0</v>
      </c>
      <c r="O933" s="2">
        <v>1140.0</v>
      </c>
      <c r="P933" s="2">
        <v>938.0</v>
      </c>
      <c r="Q933" s="2">
        <v>423.0</v>
      </c>
      <c r="R933" s="2">
        <v>34254.0</v>
      </c>
      <c r="S933" s="2">
        <v>22089.0</v>
      </c>
      <c r="T933" s="2">
        <v>12165.0</v>
      </c>
      <c r="U933" s="2">
        <v>22089.0</v>
      </c>
      <c r="V933" s="2">
        <v>0.0</v>
      </c>
      <c r="W933" s="2">
        <v>12165.0</v>
      </c>
    </row>
    <row r="934" ht="15.0" customHeight="1">
      <c r="A934" s="2">
        <v>2025.0</v>
      </c>
      <c r="B934" s="2" t="s">
        <v>70</v>
      </c>
      <c r="C934" s="2">
        <v>6.0</v>
      </c>
      <c r="D934" s="2" t="s">
        <v>71</v>
      </c>
      <c r="E934" s="2" t="s">
        <v>61</v>
      </c>
      <c r="F934" s="2" t="s">
        <v>48</v>
      </c>
      <c r="G934" s="2" t="s">
        <v>46</v>
      </c>
      <c r="H934" s="2" t="s">
        <v>47</v>
      </c>
      <c r="I934" s="2" t="s">
        <v>31</v>
      </c>
      <c r="J934" s="2">
        <v>746.0</v>
      </c>
      <c r="K934" s="2">
        <v>372.0</v>
      </c>
      <c r="L934" s="2">
        <v>208.0</v>
      </c>
      <c r="M934" s="2">
        <v>138.0</v>
      </c>
      <c r="N934" s="2">
        <v>129.0</v>
      </c>
      <c r="O934" s="2">
        <v>310.0</v>
      </c>
      <c r="P934" s="2">
        <v>271.0</v>
      </c>
      <c r="Q934" s="2">
        <v>142.0</v>
      </c>
      <c r="R934" s="2">
        <v>10990.0</v>
      </c>
      <c r="S934" s="2">
        <v>180.0</v>
      </c>
      <c r="T934" s="2">
        <v>10809.0</v>
      </c>
      <c r="U934" s="2">
        <v>180.0</v>
      </c>
      <c r="V934" s="2">
        <v>0.0</v>
      </c>
      <c r="W934" s="2">
        <v>10809.0</v>
      </c>
    </row>
    <row r="935" ht="15.0" customHeight="1">
      <c r="A935" s="2">
        <v>2025.0</v>
      </c>
      <c r="B935" s="2" t="s">
        <v>72</v>
      </c>
      <c r="C935" s="2">
        <v>3.0</v>
      </c>
      <c r="D935" s="2" t="s">
        <v>73</v>
      </c>
      <c r="E935" s="2" t="s">
        <v>61</v>
      </c>
      <c r="F935" s="2" t="s">
        <v>26</v>
      </c>
      <c r="G935" s="2" t="s">
        <v>27</v>
      </c>
      <c r="H935" s="2" t="s">
        <v>28</v>
      </c>
      <c r="I935" s="2" t="s">
        <v>29</v>
      </c>
      <c r="J935" s="2">
        <v>5886.0</v>
      </c>
      <c r="K935" s="2">
        <v>3203.0</v>
      </c>
      <c r="L935" s="2">
        <v>987.0</v>
      </c>
      <c r="M935" s="2">
        <v>952.0</v>
      </c>
      <c r="N935" s="2">
        <v>822.0</v>
      </c>
      <c r="O935" s="2">
        <v>1616.0</v>
      </c>
      <c r="P935" s="2">
        <v>1385.0</v>
      </c>
      <c r="Q935" s="2">
        <v>198.0</v>
      </c>
      <c r="R935" s="2">
        <v>26195.0</v>
      </c>
      <c r="S935" s="2">
        <v>16232.0</v>
      </c>
      <c r="T935" s="2">
        <v>9964.0</v>
      </c>
      <c r="U935" s="2">
        <v>14659.0</v>
      </c>
      <c r="V935" s="2">
        <v>1573.0</v>
      </c>
      <c r="W935" s="2">
        <v>11537.0</v>
      </c>
    </row>
    <row r="936" ht="15.0" customHeight="1">
      <c r="A936" s="2">
        <v>2025.0</v>
      </c>
      <c r="B936" s="2" t="s">
        <v>72</v>
      </c>
      <c r="C936" s="2">
        <v>3.0</v>
      </c>
      <c r="D936" s="2" t="s">
        <v>73</v>
      </c>
      <c r="E936" s="2" t="s">
        <v>61</v>
      </c>
      <c r="F936" s="2" t="s">
        <v>26</v>
      </c>
      <c r="G936" s="2" t="s">
        <v>27</v>
      </c>
      <c r="H936" s="2" t="s">
        <v>28</v>
      </c>
      <c r="I936" s="2" t="s">
        <v>30</v>
      </c>
      <c r="J936" s="2">
        <v>2092.0</v>
      </c>
      <c r="K936" s="2">
        <v>823.0</v>
      </c>
      <c r="L936" s="2">
        <v>207.0</v>
      </c>
      <c r="M936" s="2">
        <v>195.0</v>
      </c>
      <c r="N936" s="2">
        <v>172.0</v>
      </c>
      <c r="O936" s="2">
        <v>356.0</v>
      </c>
      <c r="P936" s="2">
        <v>287.0</v>
      </c>
      <c r="Q936" s="2">
        <v>35.0</v>
      </c>
      <c r="R936" s="2">
        <v>5419.0</v>
      </c>
      <c r="S936" s="2">
        <v>2701.0</v>
      </c>
      <c r="T936" s="2">
        <v>2718.0</v>
      </c>
      <c r="U936" s="2">
        <v>2701.0</v>
      </c>
      <c r="V936" s="2">
        <v>0.0</v>
      </c>
      <c r="W936" s="2">
        <v>2718.0</v>
      </c>
    </row>
    <row r="937" ht="15.0" customHeight="1">
      <c r="A937" s="2">
        <v>2025.0</v>
      </c>
      <c r="B937" s="2" t="s">
        <v>72</v>
      </c>
      <c r="C937" s="2">
        <v>3.0</v>
      </c>
      <c r="D937" s="2" t="s">
        <v>73</v>
      </c>
      <c r="E937" s="2" t="s">
        <v>61</v>
      </c>
      <c r="F937" s="2" t="s">
        <v>26</v>
      </c>
      <c r="G937" s="2" t="s">
        <v>27</v>
      </c>
      <c r="H937" s="2" t="s">
        <v>28</v>
      </c>
      <c r="I937" s="2" t="s">
        <v>31</v>
      </c>
      <c r="J937" s="2">
        <v>414.0</v>
      </c>
      <c r="K937" s="2">
        <v>243.0</v>
      </c>
      <c r="L937" s="2">
        <v>193.0</v>
      </c>
      <c r="M937" s="2">
        <v>175.0</v>
      </c>
      <c r="N937" s="2">
        <v>130.0</v>
      </c>
      <c r="O937" s="2">
        <v>265.0</v>
      </c>
      <c r="P937" s="2">
        <v>221.0</v>
      </c>
      <c r="Q937" s="2">
        <v>34.0</v>
      </c>
      <c r="R937" s="2">
        <v>4155.0</v>
      </c>
      <c r="S937" s="2">
        <v>737.0</v>
      </c>
      <c r="T937" s="2">
        <v>3418.0</v>
      </c>
      <c r="U937" s="2">
        <v>737.0</v>
      </c>
      <c r="V937" s="2">
        <v>0.0</v>
      </c>
      <c r="W937" s="2">
        <v>3418.0</v>
      </c>
    </row>
    <row r="938" ht="15.0" customHeight="1">
      <c r="A938" s="2">
        <v>2025.0</v>
      </c>
      <c r="B938" s="2" t="s">
        <v>72</v>
      </c>
      <c r="C938" s="2">
        <v>3.0</v>
      </c>
      <c r="D938" s="2" t="s">
        <v>73</v>
      </c>
      <c r="E938" s="2" t="s">
        <v>61</v>
      </c>
      <c r="F938" s="2" t="s">
        <v>26</v>
      </c>
      <c r="G938" s="2" t="s">
        <v>32</v>
      </c>
      <c r="H938" s="2" t="s">
        <v>28</v>
      </c>
      <c r="I938" s="2" t="s">
        <v>29</v>
      </c>
      <c r="J938" s="2">
        <v>23046.0</v>
      </c>
      <c r="K938" s="2">
        <v>13076.0</v>
      </c>
      <c r="L938" s="2">
        <v>6160.0</v>
      </c>
      <c r="M938" s="2">
        <v>5878.0</v>
      </c>
      <c r="N938" s="2">
        <v>3780.0</v>
      </c>
      <c r="O938" s="2">
        <v>4785.0</v>
      </c>
      <c r="P938" s="2">
        <v>4066.0</v>
      </c>
      <c r="Q938" s="2">
        <v>0.0</v>
      </c>
      <c r="R938" s="2">
        <v>33816.0</v>
      </c>
      <c r="S938" s="2">
        <v>23565.0</v>
      </c>
      <c r="T938" s="2">
        <v>10252.0</v>
      </c>
      <c r="U938" s="2">
        <v>22427.0</v>
      </c>
      <c r="V938" s="2">
        <v>1138.0</v>
      </c>
      <c r="W938" s="2">
        <v>11389.0</v>
      </c>
    </row>
    <row r="939" ht="15.0" customHeight="1">
      <c r="A939" s="2">
        <v>2025.0</v>
      </c>
      <c r="B939" s="2" t="s">
        <v>72</v>
      </c>
      <c r="C939" s="2">
        <v>3.0</v>
      </c>
      <c r="D939" s="2" t="s">
        <v>73</v>
      </c>
      <c r="E939" s="2" t="s">
        <v>61</v>
      </c>
      <c r="F939" s="2" t="s">
        <v>26</v>
      </c>
      <c r="G939" s="2" t="s">
        <v>32</v>
      </c>
      <c r="H939" s="2" t="s">
        <v>28</v>
      </c>
      <c r="I939" s="2" t="s">
        <v>30</v>
      </c>
      <c r="J939" s="2">
        <v>2546.0</v>
      </c>
      <c r="K939" s="2">
        <v>1202.0</v>
      </c>
      <c r="L939" s="2">
        <v>487.0</v>
      </c>
      <c r="M939" s="2">
        <v>453.0</v>
      </c>
      <c r="N939" s="2">
        <v>270.0</v>
      </c>
      <c r="O939" s="2">
        <v>344.0</v>
      </c>
      <c r="P939" s="2">
        <v>294.0</v>
      </c>
      <c r="Q939" s="2">
        <v>0.0</v>
      </c>
      <c r="R939" s="2">
        <v>2410.0</v>
      </c>
      <c r="S939" s="2">
        <v>1342.0</v>
      </c>
      <c r="T939" s="2">
        <v>1068.0</v>
      </c>
      <c r="U939" s="2">
        <v>1342.0</v>
      </c>
      <c r="V939" s="2">
        <v>0.0</v>
      </c>
      <c r="W939" s="2">
        <v>1068.0</v>
      </c>
    </row>
    <row r="940" ht="15.0" customHeight="1">
      <c r="A940" s="2">
        <v>2025.0</v>
      </c>
      <c r="B940" s="2" t="s">
        <v>72</v>
      </c>
      <c r="C940" s="2">
        <v>3.0</v>
      </c>
      <c r="D940" s="2" t="s">
        <v>73</v>
      </c>
      <c r="E940" s="2" t="s">
        <v>61</v>
      </c>
      <c r="F940" s="2" t="s">
        <v>26</v>
      </c>
      <c r="G940" s="2" t="s">
        <v>32</v>
      </c>
      <c r="H940" s="2" t="s">
        <v>28</v>
      </c>
      <c r="I940" s="2" t="s">
        <v>31</v>
      </c>
      <c r="J940" s="2">
        <v>7783.0</v>
      </c>
      <c r="K940" s="2">
        <v>4660.0</v>
      </c>
      <c r="L940" s="2">
        <v>3221.0</v>
      </c>
      <c r="M940" s="2">
        <v>2970.0</v>
      </c>
      <c r="N940" s="2">
        <v>1787.0</v>
      </c>
      <c r="O940" s="2">
        <v>2194.0</v>
      </c>
      <c r="P940" s="2">
        <v>1847.0</v>
      </c>
      <c r="Q940" s="2">
        <v>0.0</v>
      </c>
      <c r="R940" s="2">
        <v>15228.0</v>
      </c>
      <c r="S940" s="2">
        <v>840.0</v>
      </c>
      <c r="T940" s="2">
        <v>14388.0</v>
      </c>
      <c r="U940" s="2">
        <v>840.0</v>
      </c>
      <c r="V940" s="2">
        <v>0.0</v>
      </c>
      <c r="W940" s="2">
        <v>14388.0</v>
      </c>
    </row>
    <row r="941" ht="15.0" customHeight="1">
      <c r="A941" s="2">
        <v>2025.0</v>
      </c>
      <c r="B941" s="2" t="s">
        <v>72</v>
      </c>
      <c r="C941" s="2">
        <v>3.0</v>
      </c>
      <c r="D941" s="2" t="s">
        <v>73</v>
      </c>
      <c r="E941" s="2" t="s">
        <v>61</v>
      </c>
      <c r="F941" s="2" t="s">
        <v>26</v>
      </c>
      <c r="G941" s="2" t="s">
        <v>33</v>
      </c>
      <c r="H941" s="2" t="s">
        <v>28</v>
      </c>
      <c r="I941" s="2" t="s">
        <v>29</v>
      </c>
      <c r="J941" s="2">
        <v>7133.0</v>
      </c>
      <c r="K941" s="2">
        <v>3947.0</v>
      </c>
      <c r="L941" s="2">
        <v>1721.0</v>
      </c>
      <c r="M941" s="2">
        <v>1635.0</v>
      </c>
      <c r="N941" s="2">
        <v>1150.0</v>
      </c>
      <c r="O941" s="2">
        <v>1587.0</v>
      </c>
      <c r="P941" s="2">
        <v>1449.0</v>
      </c>
      <c r="Q941" s="2">
        <v>393.0</v>
      </c>
      <c r="R941" s="2">
        <v>14631.0</v>
      </c>
      <c r="S941" s="2">
        <v>9695.0</v>
      </c>
      <c r="T941" s="2">
        <v>4935.0</v>
      </c>
      <c r="U941" s="2">
        <v>9417.0</v>
      </c>
      <c r="V941" s="2">
        <v>278.0</v>
      </c>
      <c r="W941" s="2">
        <v>5214.0</v>
      </c>
    </row>
    <row r="942" ht="15.0" customHeight="1">
      <c r="A942" s="2">
        <v>2025.0</v>
      </c>
      <c r="B942" s="2" t="s">
        <v>72</v>
      </c>
      <c r="C942" s="2">
        <v>3.0</v>
      </c>
      <c r="D942" s="2" t="s">
        <v>73</v>
      </c>
      <c r="E942" s="2" t="s">
        <v>61</v>
      </c>
      <c r="F942" s="2" t="s">
        <v>26</v>
      </c>
      <c r="G942" s="2" t="s">
        <v>33</v>
      </c>
      <c r="H942" s="2" t="s">
        <v>28</v>
      </c>
      <c r="I942" s="2" t="s">
        <v>30</v>
      </c>
      <c r="J942" s="2">
        <v>2457.0</v>
      </c>
      <c r="K942" s="2">
        <v>1325.0</v>
      </c>
      <c r="L942" s="2">
        <v>493.0</v>
      </c>
      <c r="M942" s="2">
        <v>467.0</v>
      </c>
      <c r="N942" s="2">
        <v>298.0</v>
      </c>
      <c r="O942" s="2">
        <v>402.0</v>
      </c>
      <c r="P942" s="2">
        <v>367.0</v>
      </c>
      <c r="Q942" s="2">
        <v>41.0</v>
      </c>
      <c r="R942" s="2">
        <v>3507.0</v>
      </c>
      <c r="S942" s="2">
        <v>1817.0</v>
      </c>
      <c r="T942" s="2">
        <v>1691.0</v>
      </c>
      <c r="U942" s="2">
        <v>1817.0</v>
      </c>
      <c r="V942" s="2">
        <v>0.0</v>
      </c>
      <c r="W942" s="2">
        <v>1691.0</v>
      </c>
    </row>
    <row r="943" ht="15.0" customHeight="1">
      <c r="A943" s="2">
        <v>2025.0</v>
      </c>
      <c r="B943" s="2" t="s">
        <v>72</v>
      </c>
      <c r="C943" s="2">
        <v>3.0</v>
      </c>
      <c r="D943" s="2" t="s">
        <v>73</v>
      </c>
      <c r="E943" s="2" t="s">
        <v>61</v>
      </c>
      <c r="F943" s="2" t="s">
        <v>26</v>
      </c>
      <c r="G943" s="2" t="s">
        <v>33</v>
      </c>
      <c r="H943" s="2" t="s">
        <v>28</v>
      </c>
      <c r="I943" s="2" t="s">
        <v>31</v>
      </c>
      <c r="J943" s="2">
        <v>243.0</v>
      </c>
      <c r="K943" s="2">
        <v>104.0</v>
      </c>
      <c r="L943" s="2">
        <v>84.0</v>
      </c>
      <c r="M943" s="2">
        <v>79.0</v>
      </c>
      <c r="N943" s="2">
        <v>47.0</v>
      </c>
      <c r="O943" s="2">
        <v>68.0</v>
      </c>
      <c r="P943" s="2">
        <v>63.0</v>
      </c>
      <c r="Q943" s="2">
        <v>9.0</v>
      </c>
      <c r="R943" s="2">
        <v>658.0</v>
      </c>
      <c r="S943" s="2">
        <v>60.0</v>
      </c>
      <c r="T943" s="2">
        <v>598.0</v>
      </c>
      <c r="U943" s="2">
        <v>60.0</v>
      </c>
      <c r="V943" s="2">
        <v>0.0</v>
      </c>
      <c r="W943" s="2">
        <v>598.0</v>
      </c>
    </row>
    <row r="944" ht="15.0" customHeight="1">
      <c r="A944" s="2">
        <v>2025.0</v>
      </c>
      <c r="B944" s="2" t="s">
        <v>72</v>
      </c>
      <c r="C944" s="2">
        <v>3.0</v>
      </c>
      <c r="D944" s="2" t="s">
        <v>73</v>
      </c>
      <c r="E944" s="2" t="s">
        <v>61</v>
      </c>
      <c r="F944" s="2" t="s">
        <v>26</v>
      </c>
      <c r="G944" s="2" t="s">
        <v>34</v>
      </c>
      <c r="H944" s="2" t="s">
        <v>35</v>
      </c>
      <c r="I944" s="2" t="s">
        <v>29</v>
      </c>
      <c r="J944" s="2">
        <v>11711.0</v>
      </c>
      <c r="K944" s="2">
        <v>7520.0</v>
      </c>
      <c r="L944" s="2">
        <v>3869.0</v>
      </c>
      <c r="M944" s="2">
        <v>3675.0</v>
      </c>
      <c r="N944" s="2">
        <v>1258.0</v>
      </c>
      <c r="O944" s="2">
        <v>1606.0</v>
      </c>
      <c r="P944" s="2">
        <v>1288.0</v>
      </c>
      <c r="Q944" s="2">
        <v>219.0</v>
      </c>
      <c r="R944" s="2">
        <v>15150.0</v>
      </c>
      <c r="S944" s="2">
        <v>10426.0</v>
      </c>
      <c r="T944" s="2">
        <v>4724.0</v>
      </c>
      <c r="U944" s="2">
        <v>9189.0</v>
      </c>
      <c r="V944" s="2">
        <v>1237.0</v>
      </c>
      <c r="W944" s="2">
        <v>5961.0</v>
      </c>
    </row>
    <row r="945" ht="15.0" customHeight="1">
      <c r="A945" s="2">
        <v>2025.0</v>
      </c>
      <c r="B945" s="2" t="s">
        <v>72</v>
      </c>
      <c r="C945" s="2">
        <v>3.0</v>
      </c>
      <c r="D945" s="2" t="s">
        <v>73</v>
      </c>
      <c r="E945" s="2" t="s">
        <v>61</v>
      </c>
      <c r="F945" s="2" t="s">
        <v>26</v>
      </c>
      <c r="G945" s="2" t="s">
        <v>34</v>
      </c>
      <c r="H945" s="2" t="s">
        <v>35</v>
      </c>
      <c r="I945" s="2" t="s">
        <v>30</v>
      </c>
      <c r="J945" s="2">
        <v>3608.0</v>
      </c>
      <c r="K945" s="2">
        <v>1963.0</v>
      </c>
      <c r="L945" s="2">
        <v>915.0</v>
      </c>
      <c r="M945" s="2">
        <v>869.0</v>
      </c>
      <c r="N945" s="2">
        <v>320.0</v>
      </c>
      <c r="O945" s="2">
        <v>430.0</v>
      </c>
      <c r="P945" s="2">
        <v>351.0</v>
      </c>
      <c r="Q945" s="2">
        <v>40.0</v>
      </c>
      <c r="R945" s="2">
        <v>4140.0</v>
      </c>
      <c r="S945" s="2">
        <v>2223.0</v>
      </c>
      <c r="T945" s="2">
        <v>1917.0</v>
      </c>
      <c r="U945" s="2">
        <v>2223.0</v>
      </c>
      <c r="V945" s="2">
        <v>0.0</v>
      </c>
      <c r="W945" s="2">
        <v>1917.0</v>
      </c>
    </row>
    <row r="946" ht="15.0" customHeight="1">
      <c r="A946" s="2">
        <v>2025.0</v>
      </c>
      <c r="B946" s="2" t="s">
        <v>72</v>
      </c>
      <c r="C946" s="2">
        <v>3.0</v>
      </c>
      <c r="D946" s="2" t="s">
        <v>73</v>
      </c>
      <c r="E946" s="2" t="s">
        <v>61</v>
      </c>
      <c r="F946" s="2" t="s">
        <v>26</v>
      </c>
      <c r="G946" s="2" t="s">
        <v>34</v>
      </c>
      <c r="H946" s="2" t="s">
        <v>35</v>
      </c>
      <c r="I946" s="2" t="s">
        <v>31</v>
      </c>
      <c r="J946" s="2">
        <v>800.0</v>
      </c>
      <c r="K946" s="2">
        <v>518.0</v>
      </c>
      <c r="L946" s="2">
        <v>294.0</v>
      </c>
      <c r="M946" s="2">
        <v>256.0</v>
      </c>
      <c r="N946" s="2">
        <v>82.0</v>
      </c>
      <c r="O946" s="2">
        <v>103.0</v>
      </c>
      <c r="P946" s="2">
        <v>81.0</v>
      </c>
      <c r="Q946" s="2">
        <v>11.0</v>
      </c>
      <c r="R946" s="2">
        <v>929.0</v>
      </c>
      <c r="S946" s="2">
        <v>5.0</v>
      </c>
      <c r="T946" s="2">
        <v>924.0</v>
      </c>
      <c r="U946" s="2">
        <v>5.0</v>
      </c>
      <c r="V946" s="2">
        <v>0.0</v>
      </c>
      <c r="W946" s="2">
        <v>924.0</v>
      </c>
    </row>
    <row r="947" ht="15.0" customHeight="1">
      <c r="A947" s="2">
        <v>2025.0</v>
      </c>
      <c r="B947" s="2" t="s">
        <v>72</v>
      </c>
      <c r="C947" s="2">
        <v>3.0</v>
      </c>
      <c r="D947" s="2" t="s">
        <v>73</v>
      </c>
      <c r="E947" s="2" t="s">
        <v>61</v>
      </c>
      <c r="F947" s="2" t="s">
        <v>26</v>
      </c>
      <c r="G947" s="2" t="s">
        <v>36</v>
      </c>
      <c r="H947" s="2" t="s">
        <v>35</v>
      </c>
      <c r="I947" s="2" t="s">
        <v>29</v>
      </c>
      <c r="J947" s="2">
        <v>5019.0</v>
      </c>
      <c r="K947" s="2">
        <v>3439.0</v>
      </c>
      <c r="L947" s="2">
        <v>2007.0</v>
      </c>
      <c r="M947" s="2">
        <v>1911.0</v>
      </c>
      <c r="N947" s="2">
        <v>769.0</v>
      </c>
      <c r="O947" s="2">
        <v>1032.0</v>
      </c>
      <c r="P947" s="2">
        <v>794.0</v>
      </c>
      <c r="Q947" s="2">
        <v>0.0</v>
      </c>
      <c r="R947" s="2">
        <v>8710.0</v>
      </c>
      <c r="S947" s="2">
        <v>5003.0</v>
      </c>
      <c r="T947" s="2">
        <v>3707.0</v>
      </c>
      <c r="U947" s="2">
        <v>5003.0</v>
      </c>
      <c r="V947" s="2">
        <v>0.0</v>
      </c>
      <c r="W947" s="2">
        <v>3707.0</v>
      </c>
    </row>
    <row r="948" ht="15.0" customHeight="1">
      <c r="A948" s="2">
        <v>2025.0</v>
      </c>
      <c r="B948" s="2" t="s">
        <v>72</v>
      </c>
      <c r="C948" s="2">
        <v>3.0</v>
      </c>
      <c r="D948" s="2" t="s">
        <v>73</v>
      </c>
      <c r="E948" s="2" t="s">
        <v>61</v>
      </c>
      <c r="F948" s="2" t="s">
        <v>26</v>
      </c>
      <c r="G948" s="2" t="s">
        <v>36</v>
      </c>
      <c r="H948" s="2" t="s">
        <v>35</v>
      </c>
      <c r="I948" s="2" t="s">
        <v>30</v>
      </c>
      <c r="J948" s="2">
        <v>706.0</v>
      </c>
      <c r="K948" s="2">
        <v>344.0</v>
      </c>
      <c r="L948" s="2">
        <v>192.0</v>
      </c>
      <c r="M948" s="2">
        <v>180.0</v>
      </c>
      <c r="N948" s="2">
        <v>69.0</v>
      </c>
      <c r="O948" s="2">
        <v>84.0</v>
      </c>
      <c r="P948" s="2">
        <v>69.0</v>
      </c>
      <c r="Q948" s="2">
        <v>0.0</v>
      </c>
      <c r="R948" s="2">
        <v>750.0</v>
      </c>
      <c r="S948" s="2">
        <v>488.0</v>
      </c>
      <c r="T948" s="2">
        <v>261.0</v>
      </c>
      <c r="U948" s="2">
        <v>488.0</v>
      </c>
      <c r="V948" s="2">
        <v>0.0</v>
      </c>
      <c r="W948" s="2">
        <v>261.0</v>
      </c>
    </row>
    <row r="949" ht="15.0" customHeight="1">
      <c r="A949" s="2">
        <v>2025.0</v>
      </c>
      <c r="B949" s="2" t="s">
        <v>72</v>
      </c>
      <c r="C949" s="2">
        <v>3.0</v>
      </c>
      <c r="D949" s="2" t="s">
        <v>73</v>
      </c>
      <c r="E949" s="2" t="s">
        <v>61</v>
      </c>
      <c r="F949" s="2" t="s">
        <v>26</v>
      </c>
      <c r="G949" s="2" t="s">
        <v>36</v>
      </c>
      <c r="H949" s="2" t="s">
        <v>35</v>
      </c>
      <c r="I949" s="2" t="s">
        <v>31</v>
      </c>
      <c r="J949" s="2">
        <v>458.0</v>
      </c>
      <c r="K949" s="2">
        <v>294.0</v>
      </c>
      <c r="L949" s="2">
        <v>189.0</v>
      </c>
      <c r="M949" s="2">
        <v>171.0</v>
      </c>
      <c r="N949" s="2">
        <v>78.0</v>
      </c>
      <c r="O949" s="2">
        <v>113.0</v>
      </c>
      <c r="P949" s="2">
        <v>91.0</v>
      </c>
      <c r="Q949" s="2">
        <v>0.0</v>
      </c>
      <c r="R949" s="2">
        <v>979.0</v>
      </c>
      <c r="S949" s="2">
        <v>0.0</v>
      </c>
      <c r="T949" s="2">
        <v>979.0</v>
      </c>
      <c r="U949" s="2">
        <v>0.0</v>
      </c>
      <c r="V949" s="2">
        <v>0.0</v>
      </c>
      <c r="W949" s="2">
        <v>979.0</v>
      </c>
    </row>
    <row r="950" ht="15.0" customHeight="1">
      <c r="A950" s="2">
        <v>2025.0</v>
      </c>
      <c r="B950" s="2" t="s">
        <v>72</v>
      </c>
      <c r="C950" s="2">
        <v>3.0</v>
      </c>
      <c r="D950" s="2" t="s">
        <v>73</v>
      </c>
      <c r="E950" s="2" t="s">
        <v>61</v>
      </c>
      <c r="F950" s="2" t="s">
        <v>26</v>
      </c>
      <c r="G950" s="2" t="s">
        <v>37</v>
      </c>
      <c r="H950" s="2" t="s">
        <v>35</v>
      </c>
      <c r="I950" s="2" t="s">
        <v>29</v>
      </c>
      <c r="J950" s="2">
        <v>1236.0</v>
      </c>
      <c r="K950" s="2">
        <v>617.0</v>
      </c>
      <c r="L950" s="2">
        <v>259.0</v>
      </c>
      <c r="M950" s="2">
        <v>243.0</v>
      </c>
      <c r="N950" s="2">
        <v>191.0</v>
      </c>
      <c r="O950" s="2">
        <v>490.0</v>
      </c>
      <c r="P950" s="2">
        <v>387.0</v>
      </c>
      <c r="Q950" s="2">
        <v>0.0</v>
      </c>
      <c r="R950" s="2">
        <v>8402.0</v>
      </c>
      <c r="S950" s="2">
        <v>5434.0</v>
      </c>
      <c r="T950" s="2">
        <v>2968.0</v>
      </c>
      <c r="U950" s="2">
        <v>5434.0</v>
      </c>
      <c r="V950" s="2">
        <v>0.0</v>
      </c>
      <c r="W950" s="2">
        <v>2968.0</v>
      </c>
    </row>
    <row r="951" ht="15.0" customHeight="1">
      <c r="A951" s="2">
        <v>2025.0</v>
      </c>
      <c r="B951" s="2" t="s">
        <v>72</v>
      </c>
      <c r="C951" s="2">
        <v>3.0</v>
      </c>
      <c r="D951" s="2" t="s">
        <v>73</v>
      </c>
      <c r="E951" s="2" t="s">
        <v>61</v>
      </c>
      <c r="F951" s="2" t="s">
        <v>26</v>
      </c>
      <c r="G951" s="2" t="s">
        <v>37</v>
      </c>
      <c r="H951" s="2" t="s">
        <v>35</v>
      </c>
      <c r="I951" s="2" t="s">
        <v>30</v>
      </c>
      <c r="J951" s="2">
        <v>0.0</v>
      </c>
      <c r="K951" s="2">
        <v>0.0</v>
      </c>
      <c r="L951" s="2">
        <v>0.0</v>
      </c>
      <c r="M951" s="2">
        <v>0.0</v>
      </c>
      <c r="N951" s="2">
        <v>0.0</v>
      </c>
      <c r="O951" s="2">
        <v>0.0</v>
      </c>
      <c r="P951" s="2">
        <v>0.0</v>
      </c>
      <c r="Q951" s="2">
        <v>0.0</v>
      </c>
      <c r="R951" s="2">
        <v>0.0</v>
      </c>
      <c r="S951" s="2">
        <v>0.0</v>
      </c>
      <c r="T951" s="2">
        <v>0.0</v>
      </c>
      <c r="U951" s="2">
        <v>0.0</v>
      </c>
      <c r="V951" s="2">
        <v>0.0</v>
      </c>
      <c r="W951" s="2">
        <v>0.0</v>
      </c>
    </row>
    <row r="952" ht="15.0" customHeight="1">
      <c r="A952" s="2">
        <v>2025.0</v>
      </c>
      <c r="B952" s="2" t="s">
        <v>72</v>
      </c>
      <c r="C952" s="2">
        <v>3.0</v>
      </c>
      <c r="D952" s="2" t="s">
        <v>73</v>
      </c>
      <c r="E952" s="2" t="s">
        <v>61</v>
      </c>
      <c r="F952" s="2" t="s">
        <v>26</v>
      </c>
      <c r="G952" s="2" t="s">
        <v>37</v>
      </c>
      <c r="H952" s="2" t="s">
        <v>35</v>
      </c>
      <c r="I952" s="2" t="s">
        <v>31</v>
      </c>
      <c r="J952" s="2">
        <v>28.0</v>
      </c>
      <c r="K952" s="2">
        <v>22.0</v>
      </c>
      <c r="L952" s="2">
        <v>7.0</v>
      </c>
      <c r="M952" s="2">
        <v>7.0</v>
      </c>
      <c r="N952" s="2">
        <v>4.0</v>
      </c>
      <c r="O952" s="2">
        <v>8.0</v>
      </c>
      <c r="P952" s="2">
        <v>4.0</v>
      </c>
      <c r="Q952" s="2">
        <v>0.0</v>
      </c>
      <c r="R952" s="2">
        <v>87.0</v>
      </c>
      <c r="S952" s="2">
        <v>0.0</v>
      </c>
      <c r="T952" s="2">
        <v>87.0</v>
      </c>
      <c r="U952" s="2">
        <v>0.0</v>
      </c>
      <c r="V952" s="2">
        <v>0.0</v>
      </c>
      <c r="W952" s="2">
        <v>87.0</v>
      </c>
    </row>
    <row r="953" ht="15.0" customHeight="1">
      <c r="A953" s="2">
        <v>2025.0</v>
      </c>
      <c r="B953" s="2" t="s">
        <v>72</v>
      </c>
      <c r="C953" s="2">
        <v>3.0</v>
      </c>
      <c r="D953" s="2" t="s">
        <v>73</v>
      </c>
      <c r="E953" s="2" t="s">
        <v>61</v>
      </c>
      <c r="F953" s="2" t="s">
        <v>26</v>
      </c>
      <c r="G953" s="2" t="s">
        <v>38</v>
      </c>
      <c r="H953" s="2" t="s">
        <v>35</v>
      </c>
      <c r="I953" s="2" t="s">
        <v>29</v>
      </c>
      <c r="J953" s="2">
        <v>3271.0</v>
      </c>
      <c r="K953" s="2">
        <v>1835.0</v>
      </c>
      <c r="L953" s="2">
        <v>1013.0</v>
      </c>
      <c r="M953" s="2">
        <v>967.0</v>
      </c>
      <c r="N953" s="2">
        <v>659.0</v>
      </c>
      <c r="O953" s="2">
        <v>1112.0</v>
      </c>
      <c r="P953" s="2">
        <v>856.0</v>
      </c>
      <c r="Q953" s="2">
        <v>12.0</v>
      </c>
      <c r="R953" s="2">
        <v>11744.0</v>
      </c>
      <c r="S953" s="2">
        <v>5079.0</v>
      </c>
      <c r="T953" s="2">
        <v>6665.0</v>
      </c>
      <c r="U953" s="2">
        <v>5031.0</v>
      </c>
      <c r="V953" s="2">
        <v>47.0</v>
      </c>
      <c r="W953" s="2">
        <v>6713.0</v>
      </c>
    </row>
    <row r="954" ht="15.0" customHeight="1">
      <c r="A954" s="2">
        <v>2025.0</v>
      </c>
      <c r="B954" s="2" t="s">
        <v>72</v>
      </c>
      <c r="C954" s="2">
        <v>3.0</v>
      </c>
      <c r="D954" s="2" t="s">
        <v>73</v>
      </c>
      <c r="E954" s="2" t="s">
        <v>61</v>
      </c>
      <c r="F954" s="2" t="s">
        <v>26</v>
      </c>
      <c r="G954" s="2" t="s">
        <v>38</v>
      </c>
      <c r="H954" s="2" t="s">
        <v>35</v>
      </c>
      <c r="I954" s="2" t="s">
        <v>30</v>
      </c>
      <c r="J954" s="2">
        <v>3410.0</v>
      </c>
      <c r="K954" s="2">
        <v>1425.0</v>
      </c>
      <c r="L954" s="2">
        <v>880.0</v>
      </c>
      <c r="M954" s="2">
        <v>850.0</v>
      </c>
      <c r="N954" s="2">
        <v>533.0</v>
      </c>
      <c r="O954" s="2">
        <v>785.0</v>
      </c>
      <c r="P954" s="2">
        <v>558.0</v>
      </c>
      <c r="Q954" s="2">
        <v>10.0</v>
      </c>
      <c r="R954" s="2">
        <v>7843.0</v>
      </c>
      <c r="S954" s="2">
        <v>7416.0</v>
      </c>
      <c r="T954" s="2">
        <v>427.0</v>
      </c>
      <c r="U954" s="2">
        <v>7416.0</v>
      </c>
      <c r="V954" s="2">
        <v>0.0</v>
      </c>
      <c r="W954" s="2">
        <v>427.0</v>
      </c>
    </row>
    <row r="955" ht="15.0" customHeight="1">
      <c r="A955" s="2">
        <v>2025.0</v>
      </c>
      <c r="B955" s="2" t="s">
        <v>72</v>
      </c>
      <c r="C955" s="2">
        <v>3.0</v>
      </c>
      <c r="D955" s="2" t="s">
        <v>73</v>
      </c>
      <c r="E955" s="2" t="s">
        <v>61</v>
      </c>
      <c r="F955" s="2" t="s">
        <v>26</v>
      </c>
      <c r="G955" s="2" t="s">
        <v>38</v>
      </c>
      <c r="H955" s="2" t="s">
        <v>35</v>
      </c>
      <c r="I955" s="2" t="s">
        <v>31</v>
      </c>
      <c r="J955" s="2">
        <v>626.0</v>
      </c>
      <c r="K955" s="2">
        <v>370.0</v>
      </c>
      <c r="L955" s="2">
        <v>231.0</v>
      </c>
      <c r="M955" s="2">
        <v>200.0</v>
      </c>
      <c r="N955" s="2">
        <v>145.0</v>
      </c>
      <c r="O955" s="2">
        <v>253.0</v>
      </c>
      <c r="P955" s="2">
        <v>174.0</v>
      </c>
      <c r="Q955" s="2">
        <v>7.0</v>
      </c>
      <c r="R955" s="2">
        <v>2439.0</v>
      </c>
      <c r="S955" s="2">
        <v>0.0</v>
      </c>
      <c r="T955" s="2">
        <v>2439.0</v>
      </c>
      <c r="U955" s="2">
        <v>0.0</v>
      </c>
      <c r="V955" s="2">
        <v>0.0</v>
      </c>
      <c r="W955" s="2">
        <v>2439.0</v>
      </c>
    </row>
    <row r="956" ht="15.0" customHeight="1">
      <c r="A956" s="2">
        <v>2025.0</v>
      </c>
      <c r="B956" s="2" t="s">
        <v>72</v>
      </c>
      <c r="C956" s="2">
        <v>3.0</v>
      </c>
      <c r="D956" s="2" t="s">
        <v>73</v>
      </c>
      <c r="E956" s="2" t="s">
        <v>61</v>
      </c>
      <c r="F956" s="2" t="s">
        <v>26</v>
      </c>
      <c r="G956" s="2" t="s">
        <v>39</v>
      </c>
      <c r="H956" s="2" t="s">
        <v>40</v>
      </c>
      <c r="I956" s="2" t="s">
        <v>29</v>
      </c>
      <c r="J956" s="2">
        <v>9745.0</v>
      </c>
      <c r="K956" s="2">
        <v>6297.0</v>
      </c>
      <c r="L956" s="2">
        <v>3501.0</v>
      </c>
      <c r="M956" s="2">
        <v>3263.0</v>
      </c>
      <c r="N956" s="2">
        <v>1420.0</v>
      </c>
      <c r="O956" s="2">
        <v>1789.0</v>
      </c>
      <c r="P956" s="2">
        <v>1302.0</v>
      </c>
      <c r="Q956" s="2">
        <v>11.0</v>
      </c>
      <c r="R956" s="2">
        <v>17663.0</v>
      </c>
      <c r="S956" s="2">
        <v>8808.0</v>
      </c>
      <c r="T956" s="2">
        <v>8856.0</v>
      </c>
      <c r="U956" s="2">
        <v>8808.0</v>
      </c>
      <c r="V956" s="2">
        <v>0.0</v>
      </c>
      <c r="W956" s="2">
        <v>8856.0</v>
      </c>
    </row>
    <row r="957" ht="15.0" customHeight="1">
      <c r="A957" s="2">
        <v>2025.0</v>
      </c>
      <c r="B957" s="2" t="s">
        <v>72</v>
      </c>
      <c r="C957" s="2">
        <v>3.0</v>
      </c>
      <c r="D957" s="2" t="s">
        <v>73</v>
      </c>
      <c r="E957" s="2" t="s">
        <v>61</v>
      </c>
      <c r="F957" s="2" t="s">
        <v>26</v>
      </c>
      <c r="G957" s="2" t="s">
        <v>39</v>
      </c>
      <c r="H957" s="2" t="s">
        <v>40</v>
      </c>
      <c r="I957" s="2" t="s">
        <v>30</v>
      </c>
      <c r="J957" s="2">
        <v>1473.0</v>
      </c>
      <c r="K957" s="2">
        <v>728.0</v>
      </c>
      <c r="L957" s="2">
        <v>270.0</v>
      </c>
      <c r="M957" s="2">
        <v>247.0</v>
      </c>
      <c r="N957" s="2">
        <v>89.0</v>
      </c>
      <c r="O957" s="2">
        <v>109.0</v>
      </c>
      <c r="P957" s="2">
        <v>79.0</v>
      </c>
      <c r="Q957" s="2">
        <v>0.0</v>
      </c>
      <c r="R957" s="2">
        <v>1022.0</v>
      </c>
      <c r="S957" s="2">
        <v>574.0</v>
      </c>
      <c r="T957" s="2">
        <v>448.0</v>
      </c>
      <c r="U957" s="2">
        <v>574.0</v>
      </c>
      <c r="V957" s="2">
        <v>0.0</v>
      </c>
      <c r="W957" s="2">
        <v>448.0</v>
      </c>
    </row>
    <row r="958" ht="15.0" customHeight="1">
      <c r="A958" s="2">
        <v>2025.0</v>
      </c>
      <c r="B958" s="2" t="s">
        <v>72</v>
      </c>
      <c r="C958" s="2">
        <v>3.0</v>
      </c>
      <c r="D958" s="2" t="s">
        <v>73</v>
      </c>
      <c r="E958" s="2" t="s">
        <v>61</v>
      </c>
      <c r="F958" s="2" t="s">
        <v>26</v>
      </c>
      <c r="G958" s="2" t="s">
        <v>39</v>
      </c>
      <c r="H958" s="2" t="s">
        <v>40</v>
      </c>
      <c r="I958" s="2" t="s">
        <v>31</v>
      </c>
      <c r="J958" s="2">
        <v>2478.0</v>
      </c>
      <c r="K958" s="2">
        <v>1632.0</v>
      </c>
      <c r="L958" s="2">
        <v>777.0</v>
      </c>
      <c r="M958" s="2">
        <v>682.0</v>
      </c>
      <c r="N958" s="2">
        <v>319.0</v>
      </c>
      <c r="O958" s="2">
        <v>408.0</v>
      </c>
      <c r="P958" s="2">
        <v>304.0</v>
      </c>
      <c r="Q958" s="2">
        <v>3.0</v>
      </c>
      <c r="R958" s="2">
        <v>4278.0</v>
      </c>
      <c r="S958" s="2">
        <v>0.0</v>
      </c>
      <c r="T958" s="2">
        <v>4278.0</v>
      </c>
      <c r="U958" s="2">
        <v>0.0</v>
      </c>
      <c r="V958" s="2">
        <v>0.0</v>
      </c>
      <c r="W958" s="2">
        <v>4278.0</v>
      </c>
    </row>
    <row r="959" ht="15.0" customHeight="1">
      <c r="A959" s="2">
        <v>2025.0</v>
      </c>
      <c r="B959" s="2" t="s">
        <v>72</v>
      </c>
      <c r="C959" s="2">
        <v>3.0</v>
      </c>
      <c r="D959" s="2" t="s">
        <v>73</v>
      </c>
      <c r="E959" s="2" t="s">
        <v>61</v>
      </c>
      <c r="F959" s="2" t="s">
        <v>26</v>
      </c>
      <c r="G959" s="2" t="s">
        <v>41</v>
      </c>
      <c r="H959" s="2" t="s">
        <v>42</v>
      </c>
      <c r="I959" s="2" t="s">
        <v>29</v>
      </c>
      <c r="J959" s="2">
        <v>26160.0</v>
      </c>
      <c r="K959" s="2">
        <v>15902.0</v>
      </c>
      <c r="L959" s="2">
        <v>8298.0</v>
      </c>
      <c r="M959" s="2">
        <v>7810.0</v>
      </c>
      <c r="N959" s="2">
        <v>4704.0</v>
      </c>
      <c r="O959" s="2">
        <v>5945.0</v>
      </c>
      <c r="P959" s="2">
        <v>4933.0</v>
      </c>
      <c r="Q959" s="2">
        <v>1.0</v>
      </c>
      <c r="R959" s="2">
        <v>39951.0</v>
      </c>
      <c r="S959" s="2">
        <v>24523.0</v>
      </c>
      <c r="T959" s="2">
        <v>15428.0</v>
      </c>
      <c r="U959" s="2">
        <v>21588.0</v>
      </c>
      <c r="V959" s="2">
        <v>2935.0</v>
      </c>
      <c r="W959" s="2">
        <v>18364.0</v>
      </c>
    </row>
    <row r="960" ht="15.0" customHeight="1">
      <c r="A960" s="2">
        <v>2025.0</v>
      </c>
      <c r="B960" s="2" t="s">
        <v>72</v>
      </c>
      <c r="C960" s="2">
        <v>3.0</v>
      </c>
      <c r="D960" s="2" t="s">
        <v>73</v>
      </c>
      <c r="E960" s="2" t="s">
        <v>61</v>
      </c>
      <c r="F960" s="2" t="s">
        <v>26</v>
      </c>
      <c r="G960" s="2" t="s">
        <v>41</v>
      </c>
      <c r="H960" s="2" t="s">
        <v>42</v>
      </c>
      <c r="I960" s="2" t="s">
        <v>30</v>
      </c>
      <c r="J960" s="2">
        <v>8291.0</v>
      </c>
      <c r="K960" s="2">
        <v>4037.0</v>
      </c>
      <c r="L960" s="2">
        <v>2171.0</v>
      </c>
      <c r="M960" s="2">
        <v>2076.0</v>
      </c>
      <c r="N960" s="2">
        <v>1254.0</v>
      </c>
      <c r="O960" s="2">
        <v>1649.0</v>
      </c>
      <c r="P960" s="2">
        <v>1369.0</v>
      </c>
      <c r="Q960" s="2">
        <v>0.0</v>
      </c>
      <c r="R960" s="2">
        <v>10488.0</v>
      </c>
      <c r="S960" s="2">
        <v>6903.0</v>
      </c>
      <c r="T960" s="2">
        <v>3585.0</v>
      </c>
      <c r="U960" s="2">
        <v>6903.0</v>
      </c>
      <c r="V960" s="2">
        <v>0.0</v>
      </c>
      <c r="W960" s="2">
        <v>3585.0</v>
      </c>
    </row>
    <row r="961" ht="15.0" customHeight="1">
      <c r="A961" s="2">
        <v>2025.0</v>
      </c>
      <c r="B961" s="2" t="s">
        <v>72</v>
      </c>
      <c r="C961" s="2">
        <v>3.0</v>
      </c>
      <c r="D961" s="2" t="s">
        <v>73</v>
      </c>
      <c r="E961" s="2" t="s">
        <v>61</v>
      </c>
      <c r="F961" s="2" t="s">
        <v>26</v>
      </c>
      <c r="G961" s="2" t="s">
        <v>41</v>
      </c>
      <c r="H961" s="2" t="s">
        <v>42</v>
      </c>
      <c r="I961" s="2" t="s">
        <v>31</v>
      </c>
      <c r="J961" s="2">
        <v>11014.0</v>
      </c>
      <c r="K961" s="2">
        <v>6532.0</v>
      </c>
      <c r="L961" s="2">
        <v>5120.0</v>
      </c>
      <c r="M961" s="2">
        <v>4605.0</v>
      </c>
      <c r="N961" s="2">
        <v>2540.0</v>
      </c>
      <c r="O961" s="2">
        <v>3290.0</v>
      </c>
      <c r="P961" s="2">
        <v>2714.0</v>
      </c>
      <c r="Q961" s="2">
        <v>1.0</v>
      </c>
      <c r="R961" s="2">
        <v>21357.0</v>
      </c>
      <c r="S961" s="2">
        <v>408.0</v>
      </c>
      <c r="T961" s="2">
        <v>20949.0</v>
      </c>
      <c r="U961" s="2">
        <v>408.0</v>
      </c>
      <c r="V961" s="2">
        <v>0.0</v>
      </c>
      <c r="W961" s="2">
        <v>20949.0</v>
      </c>
    </row>
    <row r="962" ht="15.0" customHeight="1">
      <c r="A962" s="2">
        <v>2025.0</v>
      </c>
      <c r="B962" s="2" t="s">
        <v>72</v>
      </c>
      <c r="C962" s="2">
        <v>3.0</v>
      </c>
      <c r="D962" s="2" t="s">
        <v>73</v>
      </c>
      <c r="E962" s="2" t="s">
        <v>61</v>
      </c>
      <c r="F962" s="2" t="s">
        <v>26</v>
      </c>
      <c r="G962" s="2" t="s">
        <v>43</v>
      </c>
      <c r="H962" s="2" t="s">
        <v>42</v>
      </c>
      <c r="I962" s="2" t="s">
        <v>29</v>
      </c>
      <c r="J962" s="2">
        <v>3299.0</v>
      </c>
      <c r="K962" s="2">
        <v>1612.0</v>
      </c>
      <c r="L962" s="2">
        <v>876.0</v>
      </c>
      <c r="M962" s="2">
        <v>802.0</v>
      </c>
      <c r="N962" s="2">
        <v>312.0</v>
      </c>
      <c r="O962" s="2">
        <v>694.0</v>
      </c>
      <c r="P962" s="2">
        <v>518.0</v>
      </c>
      <c r="Q962" s="2">
        <v>4.0</v>
      </c>
      <c r="R962" s="2">
        <v>16853.0</v>
      </c>
      <c r="S962" s="2">
        <v>9451.0</v>
      </c>
      <c r="T962" s="2">
        <v>7402.0</v>
      </c>
      <c r="U962" s="2">
        <v>7994.0</v>
      </c>
      <c r="V962" s="2">
        <v>1456.0</v>
      </c>
      <c r="W962" s="2">
        <v>8859.0</v>
      </c>
    </row>
    <row r="963" ht="15.0" customHeight="1">
      <c r="A963" s="2">
        <v>2025.0</v>
      </c>
      <c r="B963" s="2" t="s">
        <v>72</v>
      </c>
      <c r="C963" s="2">
        <v>3.0</v>
      </c>
      <c r="D963" s="2" t="s">
        <v>73</v>
      </c>
      <c r="E963" s="2" t="s">
        <v>61</v>
      </c>
      <c r="F963" s="2" t="s">
        <v>26</v>
      </c>
      <c r="G963" s="2" t="s">
        <v>43</v>
      </c>
      <c r="H963" s="2" t="s">
        <v>42</v>
      </c>
      <c r="I963" s="2" t="s">
        <v>30</v>
      </c>
      <c r="J963" s="2">
        <v>733.0</v>
      </c>
      <c r="K963" s="2">
        <v>250.0</v>
      </c>
      <c r="L963" s="2">
        <v>106.0</v>
      </c>
      <c r="M963" s="2">
        <v>99.0</v>
      </c>
      <c r="N963" s="2">
        <v>31.0</v>
      </c>
      <c r="O963" s="2">
        <v>76.0</v>
      </c>
      <c r="P963" s="2">
        <v>60.0</v>
      </c>
      <c r="Q963" s="2">
        <v>0.0</v>
      </c>
      <c r="R963" s="2">
        <v>2092.0</v>
      </c>
      <c r="S963" s="2">
        <v>1315.0</v>
      </c>
      <c r="T963" s="2">
        <v>777.0</v>
      </c>
      <c r="U963" s="2">
        <v>1315.0</v>
      </c>
      <c r="V963" s="2">
        <v>0.0</v>
      </c>
      <c r="W963" s="2">
        <v>777.0</v>
      </c>
    </row>
    <row r="964" ht="15.0" customHeight="1">
      <c r="A964" s="2">
        <v>2025.0</v>
      </c>
      <c r="B964" s="2" t="s">
        <v>72</v>
      </c>
      <c r="C964" s="2">
        <v>3.0</v>
      </c>
      <c r="D964" s="2" t="s">
        <v>73</v>
      </c>
      <c r="E964" s="2" t="s">
        <v>61</v>
      </c>
      <c r="F964" s="2" t="s">
        <v>26</v>
      </c>
      <c r="G964" s="2" t="s">
        <v>43</v>
      </c>
      <c r="H964" s="2" t="s">
        <v>42</v>
      </c>
      <c r="I964" s="2" t="s">
        <v>31</v>
      </c>
      <c r="J964" s="2">
        <v>229.0</v>
      </c>
      <c r="K964" s="2">
        <v>162.0</v>
      </c>
      <c r="L964" s="2">
        <v>111.0</v>
      </c>
      <c r="M964" s="2">
        <v>89.0</v>
      </c>
      <c r="N964" s="2">
        <v>31.0</v>
      </c>
      <c r="O964" s="2">
        <v>101.0</v>
      </c>
      <c r="P964" s="2">
        <v>78.0</v>
      </c>
      <c r="Q964" s="2">
        <v>0.0</v>
      </c>
      <c r="R964" s="2">
        <v>2527.0</v>
      </c>
      <c r="S964" s="2">
        <v>0.0</v>
      </c>
      <c r="T964" s="2">
        <v>2527.0</v>
      </c>
      <c r="U964" s="2">
        <v>0.0</v>
      </c>
      <c r="V964" s="2">
        <v>0.0</v>
      </c>
      <c r="W964" s="2">
        <v>2527.0</v>
      </c>
    </row>
    <row r="965" ht="15.0" customHeight="1">
      <c r="A965" s="2">
        <v>2025.0</v>
      </c>
      <c r="B965" s="2" t="s">
        <v>72</v>
      </c>
      <c r="C965" s="2">
        <v>3.0</v>
      </c>
      <c r="D965" s="2" t="s">
        <v>73</v>
      </c>
      <c r="E965" s="2" t="s">
        <v>61</v>
      </c>
      <c r="F965" s="2" t="s">
        <v>26</v>
      </c>
      <c r="G965" s="2" t="s">
        <v>44</v>
      </c>
      <c r="H965" s="2" t="s">
        <v>45</v>
      </c>
      <c r="I965" s="2" t="s">
        <v>29</v>
      </c>
      <c r="J965" s="2">
        <v>6073.0</v>
      </c>
      <c r="K965" s="2">
        <v>3216.0</v>
      </c>
      <c r="L965" s="2">
        <v>1023.0</v>
      </c>
      <c r="M965" s="2">
        <v>976.0</v>
      </c>
      <c r="N965" s="2">
        <v>862.0</v>
      </c>
      <c r="O965" s="2">
        <v>1632.0</v>
      </c>
      <c r="P965" s="2">
        <v>1329.0</v>
      </c>
      <c r="Q965" s="2">
        <v>604.0</v>
      </c>
      <c r="R965" s="2">
        <v>39982.0</v>
      </c>
      <c r="S965" s="2">
        <v>32520.0</v>
      </c>
      <c r="T965" s="2">
        <v>7462.0</v>
      </c>
      <c r="U965" s="2">
        <v>25928.0</v>
      </c>
      <c r="V965" s="2">
        <v>6592.0</v>
      </c>
      <c r="W965" s="2">
        <v>14053.0</v>
      </c>
    </row>
    <row r="966" ht="15.0" customHeight="1">
      <c r="A966" s="2">
        <v>2025.0</v>
      </c>
      <c r="B966" s="2" t="s">
        <v>72</v>
      </c>
      <c r="C966" s="2">
        <v>3.0</v>
      </c>
      <c r="D966" s="2" t="s">
        <v>73</v>
      </c>
      <c r="E966" s="2" t="s">
        <v>61</v>
      </c>
      <c r="F966" s="2" t="s">
        <v>26</v>
      </c>
      <c r="G966" s="2" t="s">
        <v>44</v>
      </c>
      <c r="H966" s="2" t="s">
        <v>45</v>
      </c>
      <c r="I966" s="2" t="s">
        <v>30</v>
      </c>
      <c r="J966" s="2">
        <v>3001.0</v>
      </c>
      <c r="K966" s="2">
        <v>1285.0</v>
      </c>
      <c r="L966" s="2">
        <v>400.0</v>
      </c>
      <c r="M966" s="2">
        <v>381.0</v>
      </c>
      <c r="N966" s="2">
        <v>299.0</v>
      </c>
      <c r="O966" s="2">
        <v>524.0</v>
      </c>
      <c r="P966" s="2">
        <v>425.0</v>
      </c>
      <c r="Q966" s="2">
        <v>158.0</v>
      </c>
      <c r="R966" s="2">
        <v>11965.0</v>
      </c>
      <c r="S966" s="2">
        <v>8312.0</v>
      </c>
      <c r="T966" s="2">
        <v>3653.0</v>
      </c>
      <c r="U966" s="2">
        <v>8312.0</v>
      </c>
      <c r="V966" s="2">
        <v>0.0</v>
      </c>
      <c r="W966" s="2">
        <v>3653.0</v>
      </c>
    </row>
    <row r="967" ht="15.0" customHeight="1">
      <c r="A967" s="2">
        <v>2025.0</v>
      </c>
      <c r="B967" s="2" t="s">
        <v>72</v>
      </c>
      <c r="C967" s="2">
        <v>3.0</v>
      </c>
      <c r="D967" s="2" t="s">
        <v>73</v>
      </c>
      <c r="E967" s="2" t="s">
        <v>61</v>
      </c>
      <c r="F967" s="2" t="s">
        <v>26</v>
      </c>
      <c r="G967" s="2" t="s">
        <v>44</v>
      </c>
      <c r="H967" s="2" t="s">
        <v>45</v>
      </c>
      <c r="I967" s="2" t="s">
        <v>31</v>
      </c>
      <c r="J967" s="2">
        <v>683.0</v>
      </c>
      <c r="K967" s="2">
        <v>409.0</v>
      </c>
      <c r="L967" s="2">
        <v>158.0</v>
      </c>
      <c r="M967" s="2">
        <v>138.0</v>
      </c>
      <c r="N967" s="2">
        <v>122.0</v>
      </c>
      <c r="O967" s="2">
        <v>229.0</v>
      </c>
      <c r="P967" s="2">
        <v>189.0</v>
      </c>
      <c r="Q967" s="2">
        <v>77.0</v>
      </c>
      <c r="R967" s="2">
        <v>5372.0</v>
      </c>
      <c r="S967" s="2">
        <v>60.0</v>
      </c>
      <c r="T967" s="2">
        <v>5312.0</v>
      </c>
      <c r="U967" s="2">
        <v>60.0</v>
      </c>
      <c r="V967" s="2">
        <v>0.0</v>
      </c>
      <c r="W967" s="2">
        <v>5312.0</v>
      </c>
    </row>
    <row r="968" ht="15.0" customHeight="1">
      <c r="A968" s="2">
        <v>2025.0</v>
      </c>
      <c r="B968" s="2" t="s">
        <v>72</v>
      </c>
      <c r="C968" s="2">
        <v>3.0</v>
      </c>
      <c r="D968" s="2" t="s">
        <v>73</v>
      </c>
      <c r="E968" s="2" t="s">
        <v>61</v>
      </c>
      <c r="F968" s="2" t="s">
        <v>26</v>
      </c>
      <c r="G968" s="2" t="s">
        <v>46</v>
      </c>
      <c r="H968" s="2" t="s">
        <v>47</v>
      </c>
      <c r="I968" s="2" t="s">
        <v>29</v>
      </c>
      <c r="J968" s="2">
        <v>5298.0</v>
      </c>
      <c r="K968" s="2">
        <v>2431.0</v>
      </c>
      <c r="L968" s="2">
        <v>994.0</v>
      </c>
      <c r="M968" s="2">
        <v>931.0</v>
      </c>
      <c r="N968" s="2">
        <v>879.0</v>
      </c>
      <c r="O968" s="2">
        <v>1781.0</v>
      </c>
      <c r="P968" s="2">
        <v>1178.0</v>
      </c>
      <c r="Q968" s="2">
        <v>174.0</v>
      </c>
      <c r="R968" s="2">
        <v>41750.0</v>
      </c>
      <c r="S968" s="2">
        <v>25645.0</v>
      </c>
      <c r="T968" s="2">
        <v>16105.0</v>
      </c>
      <c r="U968" s="2">
        <v>25645.0</v>
      </c>
      <c r="V968" s="2">
        <v>0.0</v>
      </c>
      <c r="W968" s="2">
        <v>16105.0</v>
      </c>
    </row>
    <row r="969" ht="15.0" customHeight="1">
      <c r="A969" s="2">
        <v>2025.0</v>
      </c>
      <c r="B969" s="2" t="s">
        <v>72</v>
      </c>
      <c r="C969" s="2">
        <v>3.0</v>
      </c>
      <c r="D969" s="2" t="s">
        <v>73</v>
      </c>
      <c r="E969" s="2" t="s">
        <v>61</v>
      </c>
      <c r="F969" s="2" t="s">
        <v>26</v>
      </c>
      <c r="G969" s="2" t="s">
        <v>46</v>
      </c>
      <c r="H969" s="2" t="s">
        <v>47</v>
      </c>
      <c r="I969" s="2" t="s">
        <v>30</v>
      </c>
      <c r="J969" s="2">
        <v>1798.0</v>
      </c>
      <c r="K969" s="2">
        <v>484.0</v>
      </c>
      <c r="L969" s="2">
        <v>175.0</v>
      </c>
      <c r="M969" s="2">
        <v>163.0</v>
      </c>
      <c r="N969" s="2">
        <v>149.0</v>
      </c>
      <c r="O969" s="2">
        <v>318.0</v>
      </c>
      <c r="P969" s="2">
        <v>209.0</v>
      </c>
      <c r="Q969" s="2">
        <v>25.0</v>
      </c>
      <c r="R969" s="2">
        <v>7465.0</v>
      </c>
      <c r="S969" s="2">
        <v>5534.0</v>
      </c>
      <c r="T969" s="2">
        <v>1931.0</v>
      </c>
      <c r="U969" s="2">
        <v>5534.0</v>
      </c>
      <c r="V969" s="2">
        <v>0.0</v>
      </c>
      <c r="W969" s="2">
        <v>1931.0</v>
      </c>
    </row>
    <row r="970" ht="15.0" customHeight="1">
      <c r="A970" s="2">
        <v>2025.0</v>
      </c>
      <c r="B970" s="2" t="s">
        <v>72</v>
      </c>
      <c r="C970" s="2">
        <v>3.0</v>
      </c>
      <c r="D970" s="2" t="s">
        <v>73</v>
      </c>
      <c r="E970" s="2" t="s">
        <v>61</v>
      </c>
      <c r="F970" s="2" t="s">
        <v>26</v>
      </c>
      <c r="G970" s="2" t="s">
        <v>46</v>
      </c>
      <c r="H970" s="2" t="s">
        <v>47</v>
      </c>
      <c r="I970" s="2" t="s">
        <v>31</v>
      </c>
      <c r="J970" s="2">
        <v>1243.0</v>
      </c>
      <c r="K970" s="2">
        <v>673.0</v>
      </c>
      <c r="L970" s="2">
        <v>187.0</v>
      </c>
      <c r="M970" s="2">
        <v>137.0</v>
      </c>
      <c r="N970" s="2">
        <v>131.0</v>
      </c>
      <c r="O970" s="2">
        <v>239.0</v>
      </c>
      <c r="P970" s="2">
        <v>149.0</v>
      </c>
      <c r="Q970" s="2">
        <v>29.0</v>
      </c>
      <c r="R970" s="2">
        <v>6681.0</v>
      </c>
      <c r="S970" s="2">
        <v>510.0</v>
      </c>
      <c r="T970" s="2">
        <v>6171.0</v>
      </c>
      <c r="U970" s="2">
        <v>510.0</v>
      </c>
      <c r="V970" s="2">
        <v>0.0</v>
      </c>
      <c r="W970" s="2">
        <v>6171.0</v>
      </c>
    </row>
    <row r="971" ht="15.0" customHeight="1">
      <c r="A971" s="2">
        <v>2025.0</v>
      </c>
      <c r="B971" s="2" t="s">
        <v>72</v>
      </c>
      <c r="C971" s="2">
        <v>3.0</v>
      </c>
      <c r="D971" s="2" t="s">
        <v>73</v>
      </c>
      <c r="E971" s="2" t="s">
        <v>61</v>
      </c>
      <c r="F971" s="2" t="s">
        <v>48</v>
      </c>
      <c r="G971" s="2" t="s">
        <v>27</v>
      </c>
      <c r="H971" s="2" t="s">
        <v>28</v>
      </c>
      <c r="I971" s="2" t="s">
        <v>29</v>
      </c>
      <c r="J971" s="2">
        <v>5448.0</v>
      </c>
      <c r="K971" s="2">
        <v>2774.0</v>
      </c>
      <c r="L971" s="2">
        <v>1057.0</v>
      </c>
      <c r="M971" s="2">
        <v>996.0</v>
      </c>
      <c r="N971" s="2">
        <v>936.0</v>
      </c>
      <c r="O971" s="2">
        <v>1831.0</v>
      </c>
      <c r="P971" s="2">
        <v>855.0</v>
      </c>
      <c r="Q971" s="2">
        <v>0.0</v>
      </c>
      <c r="R971" s="2">
        <v>25238.0</v>
      </c>
      <c r="S971" s="2">
        <v>17779.0</v>
      </c>
      <c r="T971" s="2">
        <v>7459.0</v>
      </c>
      <c r="U971" s="2">
        <v>16461.0</v>
      </c>
      <c r="V971" s="2">
        <v>1318.0</v>
      </c>
      <c r="W971" s="2">
        <v>8777.0</v>
      </c>
    </row>
    <row r="972" ht="15.0" customHeight="1">
      <c r="A972" s="2">
        <v>2025.0</v>
      </c>
      <c r="B972" s="2" t="s">
        <v>72</v>
      </c>
      <c r="C972" s="2">
        <v>3.0</v>
      </c>
      <c r="D972" s="2" t="s">
        <v>73</v>
      </c>
      <c r="E972" s="2" t="s">
        <v>61</v>
      </c>
      <c r="F972" s="2" t="s">
        <v>48</v>
      </c>
      <c r="G972" s="2" t="s">
        <v>27</v>
      </c>
      <c r="H972" s="2" t="s">
        <v>28</v>
      </c>
      <c r="I972" s="2" t="s">
        <v>30</v>
      </c>
      <c r="J972" s="2">
        <v>2202.0</v>
      </c>
      <c r="K972" s="2">
        <v>762.0</v>
      </c>
      <c r="L972" s="2">
        <v>232.0</v>
      </c>
      <c r="M972" s="2">
        <v>214.0</v>
      </c>
      <c r="N972" s="2">
        <v>188.0</v>
      </c>
      <c r="O972" s="2">
        <v>392.0</v>
      </c>
      <c r="P972" s="2">
        <v>144.0</v>
      </c>
      <c r="Q972" s="2">
        <v>0.0</v>
      </c>
      <c r="R972" s="2">
        <v>4240.0</v>
      </c>
      <c r="S972" s="2">
        <v>2637.0</v>
      </c>
      <c r="T972" s="2">
        <v>1603.0</v>
      </c>
      <c r="U972" s="2">
        <v>2637.0</v>
      </c>
      <c r="V972" s="2">
        <v>0.0</v>
      </c>
      <c r="W972" s="2">
        <v>1603.0</v>
      </c>
    </row>
    <row r="973" ht="15.0" customHeight="1">
      <c r="A973" s="2">
        <v>2025.0</v>
      </c>
      <c r="B973" s="2" t="s">
        <v>72</v>
      </c>
      <c r="C973" s="2">
        <v>3.0</v>
      </c>
      <c r="D973" s="2" t="s">
        <v>73</v>
      </c>
      <c r="E973" s="2" t="s">
        <v>61</v>
      </c>
      <c r="F973" s="2" t="s">
        <v>48</v>
      </c>
      <c r="G973" s="2" t="s">
        <v>27</v>
      </c>
      <c r="H973" s="2" t="s">
        <v>28</v>
      </c>
      <c r="I973" s="2" t="s">
        <v>31</v>
      </c>
      <c r="J973" s="2">
        <v>152.0</v>
      </c>
      <c r="K973" s="2">
        <v>114.0</v>
      </c>
      <c r="L973" s="2">
        <v>165.0</v>
      </c>
      <c r="M973" s="2">
        <v>142.0</v>
      </c>
      <c r="N973" s="2">
        <v>128.0</v>
      </c>
      <c r="O973" s="2">
        <v>253.0</v>
      </c>
      <c r="P973" s="2">
        <v>92.0</v>
      </c>
      <c r="Q973" s="2">
        <v>0.0</v>
      </c>
      <c r="R973" s="2">
        <v>2793.0</v>
      </c>
      <c r="S973" s="2">
        <v>1513.0</v>
      </c>
      <c r="T973" s="2">
        <v>1280.0</v>
      </c>
      <c r="U973" s="2">
        <v>1513.0</v>
      </c>
      <c r="V973" s="2">
        <v>0.0</v>
      </c>
      <c r="W973" s="2">
        <v>1280.0</v>
      </c>
    </row>
    <row r="974" ht="15.0" customHeight="1">
      <c r="A974" s="2">
        <v>2025.0</v>
      </c>
      <c r="B974" s="2" t="s">
        <v>72</v>
      </c>
      <c r="C974" s="2">
        <v>3.0</v>
      </c>
      <c r="D974" s="2" t="s">
        <v>73</v>
      </c>
      <c r="E974" s="2" t="s">
        <v>61</v>
      </c>
      <c r="F974" s="2" t="s">
        <v>48</v>
      </c>
      <c r="G974" s="2" t="s">
        <v>32</v>
      </c>
      <c r="H974" s="2" t="s">
        <v>28</v>
      </c>
      <c r="I974" s="2" t="s">
        <v>29</v>
      </c>
      <c r="J974" s="2">
        <v>701.0</v>
      </c>
      <c r="K974" s="2">
        <v>383.0</v>
      </c>
      <c r="L974" s="2">
        <v>192.0</v>
      </c>
      <c r="M974" s="2">
        <v>178.0</v>
      </c>
      <c r="N974" s="2">
        <v>84.0</v>
      </c>
      <c r="O974" s="2">
        <v>115.0</v>
      </c>
      <c r="P974" s="2">
        <v>98.0</v>
      </c>
      <c r="Q974" s="2">
        <v>0.0</v>
      </c>
      <c r="R974" s="2">
        <v>1534.0</v>
      </c>
      <c r="S974" s="2">
        <v>717.0</v>
      </c>
      <c r="T974" s="2">
        <v>817.0</v>
      </c>
      <c r="U974" s="2">
        <v>717.0</v>
      </c>
      <c r="V974" s="2">
        <v>0.0</v>
      </c>
      <c r="W974" s="2">
        <v>817.0</v>
      </c>
    </row>
    <row r="975" ht="15.0" customHeight="1">
      <c r="A975" s="2">
        <v>2025.0</v>
      </c>
      <c r="B975" s="2" t="s">
        <v>72</v>
      </c>
      <c r="C975" s="2">
        <v>3.0</v>
      </c>
      <c r="D975" s="2" t="s">
        <v>73</v>
      </c>
      <c r="E975" s="2" t="s">
        <v>61</v>
      </c>
      <c r="F975" s="2" t="s">
        <v>48</v>
      </c>
      <c r="G975" s="2" t="s">
        <v>32</v>
      </c>
      <c r="H975" s="2" t="s">
        <v>28</v>
      </c>
      <c r="I975" s="2" t="s">
        <v>30</v>
      </c>
      <c r="J975" s="2">
        <v>443.0</v>
      </c>
      <c r="K975" s="2">
        <v>202.0</v>
      </c>
      <c r="L975" s="2">
        <v>114.0</v>
      </c>
      <c r="M975" s="2">
        <v>103.0</v>
      </c>
      <c r="N975" s="2">
        <v>30.0</v>
      </c>
      <c r="O975" s="2">
        <v>43.0</v>
      </c>
      <c r="P975" s="2">
        <v>30.0</v>
      </c>
      <c r="Q975" s="2">
        <v>0.0</v>
      </c>
      <c r="R975" s="2">
        <v>448.0</v>
      </c>
      <c r="S975" s="2">
        <v>340.0</v>
      </c>
      <c r="T975" s="2">
        <v>108.0</v>
      </c>
      <c r="U975" s="2">
        <v>340.0</v>
      </c>
      <c r="V975" s="2">
        <v>0.0</v>
      </c>
      <c r="W975" s="2">
        <v>108.0</v>
      </c>
    </row>
    <row r="976" ht="15.0" customHeight="1">
      <c r="A976" s="2">
        <v>2025.0</v>
      </c>
      <c r="B976" s="2" t="s">
        <v>72</v>
      </c>
      <c r="C976" s="2">
        <v>3.0</v>
      </c>
      <c r="D976" s="2" t="s">
        <v>73</v>
      </c>
      <c r="E976" s="2" t="s">
        <v>61</v>
      </c>
      <c r="F976" s="2" t="s">
        <v>48</v>
      </c>
      <c r="G976" s="2" t="s">
        <v>32</v>
      </c>
      <c r="H976" s="2" t="s">
        <v>28</v>
      </c>
      <c r="I976" s="2" t="s">
        <v>31</v>
      </c>
      <c r="J976" s="2">
        <v>1425.0</v>
      </c>
      <c r="K976" s="2">
        <v>634.0</v>
      </c>
      <c r="L976" s="2">
        <v>365.0</v>
      </c>
      <c r="M976" s="2">
        <v>336.0</v>
      </c>
      <c r="N976" s="2">
        <v>99.0</v>
      </c>
      <c r="O976" s="2">
        <v>127.0</v>
      </c>
      <c r="P976" s="2">
        <v>99.0</v>
      </c>
      <c r="Q976" s="2">
        <v>0.0</v>
      </c>
      <c r="R976" s="2">
        <v>1519.0</v>
      </c>
      <c r="S976" s="2">
        <v>0.0</v>
      </c>
      <c r="T976" s="2">
        <v>1519.0</v>
      </c>
      <c r="U976" s="2">
        <v>0.0</v>
      </c>
      <c r="V976" s="2">
        <v>0.0</v>
      </c>
      <c r="W976" s="2">
        <v>1519.0</v>
      </c>
    </row>
    <row r="977" ht="15.0" customHeight="1">
      <c r="A977" s="2">
        <v>2025.0</v>
      </c>
      <c r="B977" s="2" t="s">
        <v>72</v>
      </c>
      <c r="C977" s="2">
        <v>3.0</v>
      </c>
      <c r="D977" s="2" t="s">
        <v>73</v>
      </c>
      <c r="E977" s="2" t="s">
        <v>61</v>
      </c>
      <c r="F977" s="2" t="s">
        <v>48</v>
      </c>
      <c r="G977" s="2" t="s">
        <v>33</v>
      </c>
      <c r="H977" s="2" t="s">
        <v>28</v>
      </c>
      <c r="I977" s="2" t="s">
        <v>29</v>
      </c>
      <c r="J977" s="2">
        <v>373.0</v>
      </c>
      <c r="K977" s="2">
        <v>226.0</v>
      </c>
      <c r="L977" s="2">
        <v>103.0</v>
      </c>
      <c r="M977" s="2">
        <v>95.0</v>
      </c>
      <c r="N977" s="2">
        <v>48.0</v>
      </c>
      <c r="O977" s="2">
        <v>52.0</v>
      </c>
      <c r="P977" s="2">
        <v>52.0</v>
      </c>
      <c r="Q977" s="2">
        <v>39.0</v>
      </c>
      <c r="R977" s="2">
        <v>1387.0</v>
      </c>
      <c r="S977" s="2">
        <v>1217.0</v>
      </c>
      <c r="T977" s="2">
        <v>170.0</v>
      </c>
      <c r="U977" s="2">
        <v>1074.0</v>
      </c>
      <c r="V977" s="2">
        <v>143.0</v>
      </c>
      <c r="W977" s="2">
        <v>313.0</v>
      </c>
    </row>
    <row r="978" ht="15.0" customHeight="1">
      <c r="A978" s="2">
        <v>2025.0</v>
      </c>
      <c r="B978" s="2" t="s">
        <v>72</v>
      </c>
      <c r="C978" s="2">
        <v>3.0</v>
      </c>
      <c r="D978" s="2" t="s">
        <v>73</v>
      </c>
      <c r="E978" s="2" t="s">
        <v>61</v>
      </c>
      <c r="F978" s="2" t="s">
        <v>48</v>
      </c>
      <c r="G978" s="2" t="s">
        <v>33</v>
      </c>
      <c r="H978" s="2" t="s">
        <v>28</v>
      </c>
      <c r="I978" s="2" t="s">
        <v>30</v>
      </c>
      <c r="J978" s="2">
        <v>844.0</v>
      </c>
      <c r="K978" s="2">
        <v>366.0</v>
      </c>
      <c r="L978" s="2">
        <v>156.0</v>
      </c>
      <c r="M978" s="2">
        <v>143.0</v>
      </c>
      <c r="N978" s="2">
        <v>49.0</v>
      </c>
      <c r="O978" s="2">
        <v>56.0</v>
      </c>
      <c r="P978" s="2">
        <v>51.0</v>
      </c>
      <c r="Q978" s="2">
        <v>28.0</v>
      </c>
      <c r="R978" s="2">
        <v>1288.0</v>
      </c>
      <c r="S978" s="2">
        <v>1262.0</v>
      </c>
      <c r="T978" s="2">
        <v>26.0</v>
      </c>
      <c r="U978" s="2">
        <v>1262.0</v>
      </c>
      <c r="V978" s="2">
        <v>0.0</v>
      </c>
      <c r="W978" s="2">
        <v>26.0</v>
      </c>
    </row>
    <row r="979" ht="15.0" customHeight="1">
      <c r="A979" s="2">
        <v>2025.0</v>
      </c>
      <c r="B979" s="2" t="s">
        <v>72</v>
      </c>
      <c r="C979" s="2">
        <v>3.0</v>
      </c>
      <c r="D979" s="2" t="s">
        <v>73</v>
      </c>
      <c r="E979" s="2" t="s">
        <v>61</v>
      </c>
      <c r="F979" s="2" t="s">
        <v>48</v>
      </c>
      <c r="G979" s="2" t="s">
        <v>33</v>
      </c>
      <c r="H979" s="2" t="s">
        <v>28</v>
      </c>
      <c r="I979" s="2" t="s">
        <v>31</v>
      </c>
      <c r="J979" s="2">
        <v>91.0</v>
      </c>
      <c r="K979" s="2">
        <v>25.0</v>
      </c>
      <c r="L979" s="2">
        <v>11.0</v>
      </c>
      <c r="M979" s="2">
        <v>8.0</v>
      </c>
      <c r="N979" s="2">
        <v>2.0</v>
      </c>
      <c r="O979" s="2">
        <v>2.0</v>
      </c>
      <c r="P979" s="2">
        <v>2.0</v>
      </c>
      <c r="Q979" s="2">
        <v>2.0</v>
      </c>
      <c r="R979" s="2">
        <v>71.0</v>
      </c>
      <c r="S979" s="2">
        <v>0.0</v>
      </c>
      <c r="T979" s="2">
        <v>71.0</v>
      </c>
      <c r="U979" s="2">
        <v>0.0</v>
      </c>
      <c r="V979" s="2">
        <v>0.0</v>
      </c>
      <c r="W979" s="2">
        <v>71.0</v>
      </c>
    </row>
    <row r="980" ht="15.0" customHeight="1">
      <c r="A980" s="2">
        <v>2025.0</v>
      </c>
      <c r="B980" s="2" t="s">
        <v>72</v>
      </c>
      <c r="C980" s="2">
        <v>3.0</v>
      </c>
      <c r="D980" s="2" t="s">
        <v>73</v>
      </c>
      <c r="E980" s="2" t="s">
        <v>61</v>
      </c>
      <c r="F980" s="2" t="s">
        <v>48</v>
      </c>
      <c r="G980" s="2" t="s">
        <v>34</v>
      </c>
      <c r="H980" s="2" t="s">
        <v>35</v>
      </c>
      <c r="I980" s="2" t="s">
        <v>29</v>
      </c>
      <c r="J980" s="2">
        <v>36251.0</v>
      </c>
      <c r="K980" s="2">
        <v>23435.0</v>
      </c>
      <c r="L980" s="2">
        <v>10405.0</v>
      </c>
      <c r="M980" s="2">
        <v>9890.0</v>
      </c>
      <c r="N980" s="2">
        <v>4082.0</v>
      </c>
      <c r="O980" s="2">
        <v>5526.0</v>
      </c>
      <c r="P980" s="2">
        <v>4297.0</v>
      </c>
      <c r="Q980" s="2">
        <v>0.0</v>
      </c>
      <c r="R980" s="2">
        <v>60034.0</v>
      </c>
      <c r="S980" s="2">
        <v>40075.0</v>
      </c>
      <c r="T980" s="2">
        <v>19959.0</v>
      </c>
      <c r="U980" s="2">
        <v>38983.0</v>
      </c>
      <c r="V980" s="2">
        <v>1091.0</v>
      </c>
      <c r="W980" s="2">
        <v>21051.0</v>
      </c>
    </row>
    <row r="981" ht="15.0" customHeight="1">
      <c r="A981" s="2">
        <v>2025.0</v>
      </c>
      <c r="B981" s="2" t="s">
        <v>72</v>
      </c>
      <c r="C981" s="2">
        <v>3.0</v>
      </c>
      <c r="D981" s="2" t="s">
        <v>73</v>
      </c>
      <c r="E981" s="2" t="s">
        <v>61</v>
      </c>
      <c r="F981" s="2" t="s">
        <v>48</v>
      </c>
      <c r="G981" s="2" t="s">
        <v>34</v>
      </c>
      <c r="H981" s="2" t="s">
        <v>35</v>
      </c>
      <c r="I981" s="2" t="s">
        <v>30</v>
      </c>
      <c r="J981" s="2">
        <v>19676.0</v>
      </c>
      <c r="K981" s="2">
        <v>10728.0</v>
      </c>
      <c r="L981" s="2">
        <v>4030.0</v>
      </c>
      <c r="M981" s="2">
        <v>3746.0</v>
      </c>
      <c r="N981" s="2">
        <v>1394.0</v>
      </c>
      <c r="O981" s="2">
        <v>1846.0</v>
      </c>
      <c r="P981" s="2">
        <v>1421.0</v>
      </c>
      <c r="Q981" s="2">
        <v>0.0</v>
      </c>
      <c r="R981" s="2">
        <v>21865.0</v>
      </c>
      <c r="S981" s="2">
        <v>14705.0</v>
      </c>
      <c r="T981" s="2">
        <v>7161.0</v>
      </c>
      <c r="U981" s="2">
        <v>14705.0</v>
      </c>
      <c r="V981" s="2">
        <v>0.0</v>
      </c>
      <c r="W981" s="2">
        <v>7161.0</v>
      </c>
    </row>
    <row r="982" ht="15.0" customHeight="1">
      <c r="A982" s="2">
        <v>2025.0</v>
      </c>
      <c r="B982" s="2" t="s">
        <v>72</v>
      </c>
      <c r="C982" s="2">
        <v>3.0</v>
      </c>
      <c r="D982" s="2" t="s">
        <v>73</v>
      </c>
      <c r="E982" s="2" t="s">
        <v>61</v>
      </c>
      <c r="F982" s="2" t="s">
        <v>48</v>
      </c>
      <c r="G982" s="2" t="s">
        <v>34</v>
      </c>
      <c r="H982" s="2" t="s">
        <v>35</v>
      </c>
      <c r="I982" s="2" t="s">
        <v>31</v>
      </c>
      <c r="J982" s="2">
        <v>1136.0</v>
      </c>
      <c r="K982" s="2">
        <v>652.0</v>
      </c>
      <c r="L982" s="2">
        <v>474.0</v>
      </c>
      <c r="M982" s="2">
        <v>381.0</v>
      </c>
      <c r="N982" s="2">
        <v>156.0</v>
      </c>
      <c r="O982" s="2">
        <v>208.0</v>
      </c>
      <c r="P982" s="2">
        <v>163.0</v>
      </c>
      <c r="Q982" s="2">
        <v>0.0</v>
      </c>
      <c r="R982" s="2">
        <v>2294.0</v>
      </c>
      <c r="S982" s="2">
        <v>19.0</v>
      </c>
      <c r="T982" s="2">
        <v>2275.0</v>
      </c>
      <c r="U982" s="2">
        <v>19.0</v>
      </c>
      <c r="V982" s="2">
        <v>0.0</v>
      </c>
      <c r="W982" s="2">
        <v>2275.0</v>
      </c>
    </row>
    <row r="983" ht="15.0" customHeight="1">
      <c r="A983" s="2">
        <v>2025.0</v>
      </c>
      <c r="B983" s="2" t="s">
        <v>72</v>
      </c>
      <c r="C983" s="2">
        <v>3.0</v>
      </c>
      <c r="D983" s="2" t="s">
        <v>73</v>
      </c>
      <c r="E983" s="2" t="s">
        <v>61</v>
      </c>
      <c r="F983" s="2" t="s">
        <v>48</v>
      </c>
      <c r="G983" s="2" t="s">
        <v>36</v>
      </c>
      <c r="H983" s="2" t="s">
        <v>35</v>
      </c>
      <c r="I983" s="2" t="s">
        <v>29</v>
      </c>
      <c r="J983" s="2">
        <v>15807.0</v>
      </c>
      <c r="K983" s="2">
        <v>9462.0</v>
      </c>
      <c r="L983" s="2">
        <v>4606.0</v>
      </c>
      <c r="M983" s="2">
        <v>4372.0</v>
      </c>
      <c r="N983" s="2">
        <v>3286.0</v>
      </c>
      <c r="O983" s="2">
        <v>5881.0</v>
      </c>
      <c r="P983" s="2">
        <v>5081.0</v>
      </c>
      <c r="Q983" s="2">
        <v>0.0</v>
      </c>
      <c r="R983" s="2">
        <v>62522.0</v>
      </c>
      <c r="S983" s="2">
        <v>38679.0</v>
      </c>
      <c r="T983" s="2">
        <v>23843.0</v>
      </c>
      <c r="U983" s="2">
        <v>37138.0</v>
      </c>
      <c r="V983" s="2">
        <v>1541.0</v>
      </c>
      <c r="W983" s="2">
        <v>25385.0</v>
      </c>
    </row>
    <row r="984" ht="15.0" customHeight="1">
      <c r="A984" s="2">
        <v>2025.0</v>
      </c>
      <c r="B984" s="2" t="s">
        <v>72</v>
      </c>
      <c r="C984" s="2">
        <v>3.0</v>
      </c>
      <c r="D984" s="2" t="s">
        <v>73</v>
      </c>
      <c r="E984" s="2" t="s">
        <v>61</v>
      </c>
      <c r="F984" s="2" t="s">
        <v>48</v>
      </c>
      <c r="G984" s="2" t="s">
        <v>36</v>
      </c>
      <c r="H984" s="2" t="s">
        <v>35</v>
      </c>
      <c r="I984" s="2" t="s">
        <v>30</v>
      </c>
      <c r="J984" s="2">
        <v>3482.0</v>
      </c>
      <c r="K984" s="2">
        <v>1537.0</v>
      </c>
      <c r="L984" s="2">
        <v>793.0</v>
      </c>
      <c r="M984" s="2">
        <v>755.0</v>
      </c>
      <c r="N984" s="2">
        <v>525.0</v>
      </c>
      <c r="O984" s="2">
        <v>936.0</v>
      </c>
      <c r="P984" s="2">
        <v>806.0</v>
      </c>
      <c r="Q984" s="2">
        <v>0.0</v>
      </c>
      <c r="R984" s="2">
        <v>10039.0</v>
      </c>
      <c r="S984" s="2">
        <v>7121.0</v>
      </c>
      <c r="T984" s="2">
        <v>2918.0</v>
      </c>
      <c r="U984" s="2">
        <v>7121.0</v>
      </c>
      <c r="V984" s="2">
        <v>0.0</v>
      </c>
      <c r="W984" s="2">
        <v>2918.0</v>
      </c>
    </row>
    <row r="985" ht="15.0" customHeight="1">
      <c r="A985" s="2">
        <v>2025.0</v>
      </c>
      <c r="B985" s="2" t="s">
        <v>72</v>
      </c>
      <c r="C985" s="2">
        <v>3.0</v>
      </c>
      <c r="D985" s="2" t="s">
        <v>73</v>
      </c>
      <c r="E985" s="2" t="s">
        <v>61</v>
      </c>
      <c r="F985" s="2" t="s">
        <v>48</v>
      </c>
      <c r="G985" s="2" t="s">
        <v>36</v>
      </c>
      <c r="H985" s="2" t="s">
        <v>35</v>
      </c>
      <c r="I985" s="2" t="s">
        <v>31</v>
      </c>
      <c r="J985" s="2">
        <v>1052.0</v>
      </c>
      <c r="K985" s="2">
        <v>699.0</v>
      </c>
      <c r="L985" s="2">
        <v>427.0</v>
      </c>
      <c r="M985" s="2">
        <v>385.0</v>
      </c>
      <c r="N985" s="2">
        <v>277.0</v>
      </c>
      <c r="O985" s="2">
        <v>535.0</v>
      </c>
      <c r="P985" s="2">
        <v>467.0</v>
      </c>
      <c r="Q985" s="2">
        <v>0.0</v>
      </c>
      <c r="R985" s="2">
        <v>5786.0</v>
      </c>
      <c r="S985" s="2">
        <v>15.0</v>
      </c>
      <c r="T985" s="2">
        <v>5771.0</v>
      </c>
      <c r="U985" s="2">
        <v>15.0</v>
      </c>
      <c r="V985" s="2">
        <v>0.0</v>
      </c>
      <c r="W985" s="2">
        <v>5771.0</v>
      </c>
    </row>
    <row r="986" ht="15.0" customHeight="1">
      <c r="A986" s="2">
        <v>2025.0</v>
      </c>
      <c r="B986" s="2" t="s">
        <v>72</v>
      </c>
      <c r="C986" s="2">
        <v>3.0</v>
      </c>
      <c r="D986" s="2" t="s">
        <v>73</v>
      </c>
      <c r="E986" s="2" t="s">
        <v>61</v>
      </c>
      <c r="F986" s="2" t="s">
        <v>48</v>
      </c>
      <c r="G986" s="2" t="s">
        <v>37</v>
      </c>
      <c r="H986" s="2" t="s">
        <v>35</v>
      </c>
      <c r="I986" s="2" t="s">
        <v>29</v>
      </c>
      <c r="J986" s="2">
        <v>3825.0</v>
      </c>
      <c r="K986" s="2">
        <v>2005.0</v>
      </c>
      <c r="L986" s="2">
        <v>817.0</v>
      </c>
      <c r="M986" s="2">
        <v>768.0</v>
      </c>
      <c r="N986" s="2">
        <v>624.0</v>
      </c>
      <c r="O986" s="2">
        <v>1550.0</v>
      </c>
      <c r="P986" s="2">
        <v>1140.0</v>
      </c>
      <c r="Q986" s="2">
        <v>62.0</v>
      </c>
      <c r="R986" s="2">
        <v>28885.0</v>
      </c>
      <c r="S986" s="2">
        <v>14584.0</v>
      </c>
      <c r="T986" s="2">
        <v>14301.0</v>
      </c>
      <c r="U986" s="2">
        <v>14584.0</v>
      </c>
      <c r="V986" s="2">
        <v>0.0</v>
      </c>
      <c r="W986" s="2">
        <v>14301.0</v>
      </c>
    </row>
    <row r="987" ht="15.0" customHeight="1">
      <c r="A987" s="2">
        <v>2025.0</v>
      </c>
      <c r="B987" s="2" t="s">
        <v>72</v>
      </c>
      <c r="C987" s="2">
        <v>3.0</v>
      </c>
      <c r="D987" s="2" t="s">
        <v>73</v>
      </c>
      <c r="E987" s="2" t="s">
        <v>61</v>
      </c>
      <c r="F987" s="2" t="s">
        <v>48</v>
      </c>
      <c r="G987" s="2" t="s">
        <v>37</v>
      </c>
      <c r="H987" s="2" t="s">
        <v>35</v>
      </c>
      <c r="I987" s="2" t="s">
        <v>30</v>
      </c>
      <c r="J987" s="2">
        <v>2607.0</v>
      </c>
      <c r="K987" s="2">
        <v>881.0</v>
      </c>
      <c r="L987" s="2">
        <v>282.0</v>
      </c>
      <c r="M987" s="2">
        <v>262.0</v>
      </c>
      <c r="N987" s="2">
        <v>203.0</v>
      </c>
      <c r="O987" s="2">
        <v>495.0</v>
      </c>
      <c r="P987" s="2">
        <v>395.0</v>
      </c>
      <c r="Q987" s="2">
        <v>17.0</v>
      </c>
      <c r="R987" s="2">
        <v>9920.0</v>
      </c>
      <c r="S987" s="2">
        <v>6591.0</v>
      </c>
      <c r="T987" s="2">
        <v>3329.0</v>
      </c>
      <c r="U987" s="2">
        <v>6591.0</v>
      </c>
      <c r="V987" s="2">
        <v>0.0</v>
      </c>
      <c r="W987" s="2">
        <v>3329.0</v>
      </c>
    </row>
    <row r="988" ht="15.0" customHeight="1">
      <c r="A988" s="2">
        <v>2025.0</v>
      </c>
      <c r="B988" s="2" t="s">
        <v>72</v>
      </c>
      <c r="C988" s="2">
        <v>3.0</v>
      </c>
      <c r="D988" s="2" t="s">
        <v>73</v>
      </c>
      <c r="E988" s="2" t="s">
        <v>61</v>
      </c>
      <c r="F988" s="2" t="s">
        <v>48</v>
      </c>
      <c r="G988" s="2" t="s">
        <v>37</v>
      </c>
      <c r="H988" s="2" t="s">
        <v>35</v>
      </c>
      <c r="I988" s="2" t="s">
        <v>31</v>
      </c>
      <c r="J988" s="2">
        <v>91.0</v>
      </c>
      <c r="K988" s="2">
        <v>68.0</v>
      </c>
      <c r="L988" s="2">
        <v>41.0</v>
      </c>
      <c r="M988" s="2">
        <v>35.0</v>
      </c>
      <c r="N988" s="2">
        <v>29.0</v>
      </c>
      <c r="O988" s="2">
        <v>77.0</v>
      </c>
      <c r="P988" s="2">
        <v>48.0</v>
      </c>
      <c r="Q988" s="2">
        <v>2.0</v>
      </c>
      <c r="R988" s="2">
        <v>1207.0</v>
      </c>
      <c r="S988" s="2">
        <v>0.0</v>
      </c>
      <c r="T988" s="2">
        <v>1207.0</v>
      </c>
      <c r="U988" s="2">
        <v>0.0</v>
      </c>
      <c r="V988" s="2">
        <v>0.0</v>
      </c>
      <c r="W988" s="2">
        <v>1207.0</v>
      </c>
    </row>
    <row r="989" ht="15.0" customHeight="1">
      <c r="A989" s="2">
        <v>2025.0</v>
      </c>
      <c r="B989" s="2" t="s">
        <v>72</v>
      </c>
      <c r="C989" s="2">
        <v>3.0</v>
      </c>
      <c r="D989" s="2" t="s">
        <v>73</v>
      </c>
      <c r="E989" s="2" t="s">
        <v>61</v>
      </c>
      <c r="F989" s="2" t="s">
        <v>48</v>
      </c>
      <c r="G989" s="2" t="s">
        <v>38</v>
      </c>
      <c r="H989" s="2" t="s">
        <v>35</v>
      </c>
      <c r="I989" s="2" t="s">
        <v>29</v>
      </c>
      <c r="J989" s="2">
        <v>4947.0</v>
      </c>
      <c r="K989" s="2">
        <v>2855.0</v>
      </c>
      <c r="L989" s="2">
        <v>1441.0</v>
      </c>
      <c r="M989" s="2">
        <v>1380.0</v>
      </c>
      <c r="N989" s="2">
        <v>735.0</v>
      </c>
      <c r="O989" s="2">
        <v>1043.0</v>
      </c>
      <c r="P989" s="2">
        <v>778.0</v>
      </c>
      <c r="Q989" s="2">
        <v>191.0</v>
      </c>
      <c r="R989" s="2">
        <v>14322.0</v>
      </c>
      <c r="S989" s="2">
        <v>9812.0</v>
      </c>
      <c r="T989" s="2">
        <v>4509.0</v>
      </c>
      <c r="U989" s="2">
        <v>9638.0</v>
      </c>
      <c r="V989" s="2">
        <v>174.0</v>
      </c>
      <c r="W989" s="2">
        <v>4684.0</v>
      </c>
    </row>
    <row r="990" ht="15.0" customHeight="1">
      <c r="A990" s="2">
        <v>2025.0</v>
      </c>
      <c r="B990" s="2" t="s">
        <v>72</v>
      </c>
      <c r="C990" s="2">
        <v>3.0</v>
      </c>
      <c r="D990" s="2" t="s">
        <v>73</v>
      </c>
      <c r="E990" s="2" t="s">
        <v>61</v>
      </c>
      <c r="F990" s="2" t="s">
        <v>48</v>
      </c>
      <c r="G990" s="2" t="s">
        <v>38</v>
      </c>
      <c r="H990" s="2" t="s">
        <v>35</v>
      </c>
      <c r="I990" s="2" t="s">
        <v>30</v>
      </c>
      <c r="J990" s="2">
        <v>7460.0</v>
      </c>
      <c r="K990" s="2">
        <v>2907.0</v>
      </c>
      <c r="L990" s="2">
        <v>2094.0</v>
      </c>
      <c r="M990" s="2">
        <v>2016.0</v>
      </c>
      <c r="N990" s="2">
        <v>1055.0</v>
      </c>
      <c r="O990" s="2">
        <v>1459.0</v>
      </c>
      <c r="P990" s="2">
        <v>1112.0</v>
      </c>
      <c r="Q990" s="2">
        <v>350.0</v>
      </c>
      <c r="R990" s="2">
        <v>20393.0</v>
      </c>
      <c r="S990" s="2">
        <v>11604.0</v>
      </c>
      <c r="T990" s="2">
        <v>8789.0</v>
      </c>
      <c r="U990" s="2">
        <v>11604.0</v>
      </c>
      <c r="V990" s="2">
        <v>0.0</v>
      </c>
      <c r="W990" s="2">
        <v>8789.0</v>
      </c>
    </row>
    <row r="991" ht="15.0" customHeight="1">
      <c r="A991" s="2">
        <v>2025.0</v>
      </c>
      <c r="B991" s="2" t="s">
        <v>72</v>
      </c>
      <c r="C991" s="2">
        <v>3.0</v>
      </c>
      <c r="D991" s="2" t="s">
        <v>73</v>
      </c>
      <c r="E991" s="2" t="s">
        <v>61</v>
      </c>
      <c r="F991" s="2" t="s">
        <v>48</v>
      </c>
      <c r="G991" s="2" t="s">
        <v>38</v>
      </c>
      <c r="H991" s="2" t="s">
        <v>35</v>
      </c>
      <c r="I991" s="2" t="s">
        <v>31</v>
      </c>
      <c r="J991" s="2">
        <v>1092.0</v>
      </c>
      <c r="K991" s="2">
        <v>582.0</v>
      </c>
      <c r="L991" s="2">
        <v>432.0</v>
      </c>
      <c r="M991" s="2">
        <v>394.0</v>
      </c>
      <c r="N991" s="2">
        <v>203.0</v>
      </c>
      <c r="O991" s="2">
        <v>301.0</v>
      </c>
      <c r="P991" s="2">
        <v>235.0</v>
      </c>
      <c r="Q991" s="2">
        <v>52.0</v>
      </c>
      <c r="R991" s="2">
        <v>4504.0</v>
      </c>
      <c r="S991" s="2">
        <v>9.0</v>
      </c>
      <c r="T991" s="2">
        <v>4495.0</v>
      </c>
      <c r="U991" s="2">
        <v>9.0</v>
      </c>
      <c r="V991" s="2">
        <v>0.0</v>
      </c>
      <c r="W991" s="2">
        <v>4495.0</v>
      </c>
    </row>
    <row r="992" ht="15.0" customHeight="1">
      <c r="A992" s="2">
        <v>2025.0</v>
      </c>
      <c r="B992" s="2" t="s">
        <v>72</v>
      </c>
      <c r="C992" s="2">
        <v>3.0</v>
      </c>
      <c r="D992" s="2" t="s">
        <v>73</v>
      </c>
      <c r="E992" s="2" t="s">
        <v>61</v>
      </c>
      <c r="F992" s="2" t="s">
        <v>48</v>
      </c>
      <c r="G992" s="2" t="s">
        <v>39</v>
      </c>
      <c r="H992" s="2" t="s">
        <v>40</v>
      </c>
      <c r="I992" s="2" t="s">
        <v>29</v>
      </c>
      <c r="J992" s="2">
        <v>30697.0</v>
      </c>
      <c r="K992" s="2">
        <v>18520.0</v>
      </c>
      <c r="L992" s="2">
        <v>8946.0</v>
      </c>
      <c r="M992" s="2">
        <v>8451.0</v>
      </c>
      <c r="N992" s="2">
        <v>7692.0</v>
      </c>
      <c r="O992" s="2">
        <v>14427.0</v>
      </c>
      <c r="P992" s="2">
        <v>13902.0</v>
      </c>
      <c r="Q992" s="2">
        <v>11312.0</v>
      </c>
      <c r="R992" s="2">
        <v>98273.0</v>
      </c>
      <c r="S992" s="2">
        <v>59605.0</v>
      </c>
      <c r="T992" s="2">
        <v>38668.0</v>
      </c>
      <c r="U992" s="2">
        <v>59294.0</v>
      </c>
      <c r="V992" s="2">
        <v>311.0</v>
      </c>
      <c r="W992" s="2">
        <v>38980.0</v>
      </c>
    </row>
    <row r="993" ht="15.0" customHeight="1">
      <c r="A993" s="2">
        <v>2025.0</v>
      </c>
      <c r="B993" s="2" t="s">
        <v>72</v>
      </c>
      <c r="C993" s="2">
        <v>3.0</v>
      </c>
      <c r="D993" s="2" t="s">
        <v>73</v>
      </c>
      <c r="E993" s="2" t="s">
        <v>61</v>
      </c>
      <c r="F993" s="2" t="s">
        <v>48</v>
      </c>
      <c r="G993" s="2" t="s">
        <v>39</v>
      </c>
      <c r="H993" s="2" t="s">
        <v>40</v>
      </c>
      <c r="I993" s="2" t="s">
        <v>30</v>
      </c>
      <c r="J993" s="2">
        <v>5836.0</v>
      </c>
      <c r="K993" s="2">
        <v>2892.0</v>
      </c>
      <c r="L993" s="2">
        <v>1211.0</v>
      </c>
      <c r="M993" s="2">
        <v>1135.0</v>
      </c>
      <c r="N993" s="2">
        <v>1017.0</v>
      </c>
      <c r="O993" s="2">
        <v>1937.0</v>
      </c>
      <c r="P993" s="2">
        <v>1866.0</v>
      </c>
      <c r="Q993" s="2">
        <v>1489.0</v>
      </c>
      <c r="R993" s="2">
        <v>13266.0</v>
      </c>
      <c r="S993" s="2">
        <v>9550.0</v>
      </c>
      <c r="T993" s="2">
        <v>3716.0</v>
      </c>
      <c r="U993" s="2">
        <v>9550.0</v>
      </c>
      <c r="V993" s="2">
        <v>0.0</v>
      </c>
      <c r="W993" s="2">
        <v>3716.0</v>
      </c>
    </row>
    <row r="994" ht="15.0" customHeight="1">
      <c r="A994" s="2">
        <v>2025.0</v>
      </c>
      <c r="B994" s="2" t="s">
        <v>72</v>
      </c>
      <c r="C994" s="2">
        <v>3.0</v>
      </c>
      <c r="D994" s="2" t="s">
        <v>73</v>
      </c>
      <c r="E994" s="2" t="s">
        <v>61</v>
      </c>
      <c r="F994" s="2" t="s">
        <v>48</v>
      </c>
      <c r="G994" s="2" t="s">
        <v>39</v>
      </c>
      <c r="H994" s="2" t="s">
        <v>40</v>
      </c>
      <c r="I994" s="2" t="s">
        <v>31</v>
      </c>
      <c r="J994" s="2">
        <v>2299.0</v>
      </c>
      <c r="K994" s="2">
        <v>1532.0</v>
      </c>
      <c r="L994" s="2">
        <v>863.0</v>
      </c>
      <c r="M994" s="2">
        <v>738.0</v>
      </c>
      <c r="N994" s="2">
        <v>665.0</v>
      </c>
      <c r="O994" s="2">
        <v>1211.0</v>
      </c>
      <c r="P994" s="2">
        <v>1156.0</v>
      </c>
      <c r="Q994" s="2">
        <v>851.0</v>
      </c>
      <c r="R994" s="2">
        <v>8897.0</v>
      </c>
      <c r="S994" s="2">
        <v>54.0</v>
      </c>
      <c r="T994" s="2">
        <v>8843.0</v>
      </c>
      <c r="U994" s="2">
        <v>54.0</v>
      </c>
      <c r="V994" s="2">
        <v>0.0</v>
      </c>
      <c r="W994" s="2">
        <v>8843.0</v>
      </c>
    </row>
    <row r="995" ht="15.0" customHeight="1">
      <c r="A995" s="2">
        <v>2025.0</v>
      </c>
      <c r="B995" s="2" t="s">
        <v>72</v>
      </c>
      <c r="C995" s="2">
        <v>3.0</v>
      </c>
      <c r="D995" s="2" t="s">
        <v>73</v>
      </c>
      <c r="E995" s="2" t="s">
        <v>61</v>
      </c>
      <c r="F995" s="2" t="s">
        <v>48</v>
      </c>
      <c r="G995" s="2" t="s">
        <v>41</v>
      </c>
      <c r="H995" s="2" t="s">
        <v>42</v>
      </c>
      <c r="I995" s="2" t="s">
        <v>29</v>
      </c>
      <c r="J995" s="2">
        <v>18953.0</v>
      </c>
      <c r="K995" s="2">
        <v>9682.0</v>
      </c>
      <c r="L995" s="2">
        <v>3446.0</v>
      </c>
      <c r="M995" s="2">
        <v>2928.0</v>
      </c>
      <c r="N995" s="2">
        <v>1318.0</v>
      </c>
      <c r="O995" s="2">
        <v>1818.0</v>
      </c>
      <c r="P995" s="2">
        <v>1398.0</v>
      </c>
      <c r="Q995" s="2">
        <v>0.0</v>
      </c>
      <c r="R995" s="2">
        <v>12201.0</v>
      </c>
      <c r="S995" s="2">
        <v>13374.0</v>
      </c>
      <c r="T995" s="2">
        <v>-1172.0</v>
      </c>
      <c r="U995" s="2">
        <v>6184.0</v>
      </c>
      <c r="V995" s="2">
        <v>7189.0</v>
      </c>
      <c r="W995" s="2">
        <v>6017.0</v>
      </c>
    </row>
    <row r="996" ht="15.0" customHeight="1">
      <c r="A996" s="2">
        <v>2025.0</v>
      </c>
      <c r="B996" s="2" t="s">
        <v>72</v>
      </c>
      <c r="C996" s="2">
        <v>3.0</v>
      </c>
      <c r="D996" s="2" t="s">
        <v>73</v>
      </c>
      <c r="E996" s="2" t="s">
        <v>61</v>
      </c>
      <c r="F996" s="2" t="s">
        <v>48</v>
      </c>
      <c r="G996" s="2" t="s">
        <v>41</v>
      </c>
      <c r="H996" s="2" t="s">
        <v>42</v>
      </c>
      <c r="I996" s="2" t="s">
        <v>30</v>
      </c>
      <c r="J996" s="2">
        <v>4686.0</v>
      </c>
      <c r="K996" s="2">
        <v>2584.0</v>
      </c>
      <c r="L996" s="2">
        <v>1488.0</v>
      </c>
      <c r="M996" s="2">
        <v>1368.0</v>
      </c>
      <c r="N996" s="2">
        <v>698.0</v>
      </c>
      <c r="O996" s="2">
        <v>1007.0</v>
      </c>
      <c r="P996" s="2">
        <v>799.0</v>
      </c>
      <c r="Q996" s="2">
        <v>0.0</v>
      </c>
      <c r="R996" s="2">
        <v>6293.0</v>
      </c>
      <c r="S996" s="2">
        <v>3804.0</v>
      </c>
      <c r="T996" s="2">
        <v>2490.0</v>
      </c>
      <c r="U996" s="2">
        <v>3804.0</v>
      </c>
      <c r="V996" s="2">
        <v>0.0</v>
      </c>
      <c r="W996" s="2">
        <v>2490.0</v>
      </c>
    </row>
    <row r="997" ht="15.0" customHeight="1">
      <c r="A997" s="2">
        <v>2025.0</v>
      </c>
      <c r="B997" s="2" t="s">
        <v>72</v>
      </c>
      <c r="C997" s="2">
        <v>3.0</v>
      </c>
      <c r="D997" s="2" t="s">
        <v>73</v>
      </c>
      <c r="E997" s="2" t="s">
        <v>61</v>
      </c>
      <c r="F997" s="2" t="s">
        <v>48</v>
      </c>
      <c r="G997" s="2" t="s">
        <v>41</v>
      </c>
      <c r="H997" s="2" t="s">
        <v>42</v>
      </c>
      <c r="I997" s="2" t="s">
        <v>31</v>
      </c>
      <c r="J997" s="2">
        <v>8929.0</v>
      </c>
      <c r="K997" s="2">
        <v>6852.0</v>
      </c>
      <c r="L997" s="2">
        <v>6221.0</v>
      </c>
      <c r="M997" s="2">
        <v>4886.0</v>
      </c>
      <c r="N997" s="2">
        <v>1775.0</v>
      </c>
      <c r="O997" s="2">
        <v>2404.0</v>
      </c>
      <c r="P997" s="2">
        <v>1879.0</v>
      </c>
      <c r="Q997" s="2">
        <v>0.0</v>
      </c>
      <c r="R997" s="2">
        <v>18459.0</v>
      </c>
      <c r="S997" s="2">
        <v>49.0</v>
      </c>
      <c r="T997" s="2">
        <v>18409.0</v>
      </c>
      <c r="U997" s="2">
        <v>49.0</v>
      </c>
      <c r="V997" s="2">
        <v>0.0</v>
      </c>
      <c r="W997" s="2">
        <v>18409.0</v>
      </c>
    </row>
    <row r="998" ht="15.0" customHeight="1">
      <c r="A998" s="2">
        <v>2025.0</v>
      </c>
      <c r="B998" s="2" t="s">
        <v>72</v>
      </c>
      <c r="C998" s="2">
        <v>3.0</v>
      </c>
      <c r="D998" s="2" t="s">
        <v>73</v>
      </c>
      <c r="E998" s="2" t="s">
        <v>61</v>
      </c>
      <c r="F998" s="2" t="s">
        <v>48</v>
      </c>
      <c r="G998" s="2" t="s">
        <v>43</v>
      </c>
      <c r="H998" s="2" t="s">
        <v>42</v>
      </c>
      <c r="I998" s="2" t="s">
        <v>29</v>
      </c>
      <c r="J998" s="2">
        <v>32075.0</v>
      </c>
      <c r="K998" s="2">
        <v>12585.0</v>
      </c>
      <c r="L998" s="2">
        <v>3899.0</v>
      </c>
      <c r="M998" s="2">
        <v>3572.0</v>
      </c>
      <c r="N998" s="2">
        <v>1704.0</v>
      </c>
      <c r="O998" s="2">
        <v>3499.0</v>
      </c>
      <c r="P998" s="2">
        <v>2992.0</v>
      </c>
      <c r="Q998" s="2">
        <v>0.0</v>
      </c>
      <c r="R998" s="2">
        <v>92130.0</v>
      </c>
      <c r="S998" s="2">
        <v>74499.0</v>
      </c>
      <c r="T998" s="2">
        <v>17631.0</v>
      </c>
      <c r="U998" s="2">
        <v>69541.0</v>
      </c>
      <c r="V998" s="2">
        <v>4959.0</v>
      </c>
      <c r="W998" s="2">
        <v>22589.0</v>
      </c>
    </row>
    <row r="999" ht="15.0" customHeight="1">
      <c r="A999" s="2">
        <v>2025.0</v>
      </c>
      <c r="B999" s="2" t="s">
        <v>72</v>
      </c>
      <c r="C999" s="2">
        <v>3.0</v>
      </c>
      <c r="D999" s="2" t="s">
        <v>73</v>
      </c>
      <c r="E999" s="2" t="s">
        <v>61</v>
      </c>
      <c r="F999" s="2" t="s">
        <v>48</v>
      </c>
      <c r="G999" s="2" t="s">
        <v>43</v>
      </c>
      <c r="H999" s="2" t="s">
        <v>42</v>
      </c>
      <c r="I999" s="2" t="s">
        <v>30</v>
      </c>
      <c r="J999" s="2">
        <v>5386.0</v>
      </c>
      <c r="K999" s="2">
        <v>1844.0</v>
      </c>
      <c r="L999" s="2">
        <v>583.0</v>
      </c>
      <c r="M999" s="2">
        <v>529.0</v>
      </c>
      <c r="N999" s="2">
        <v>275.0</v>
      </c>
      <c r="O999" s="2">
        <v>700.0</v>
      </c>
      <c r="P999" s="2">
        <v>615.0</v>
      </c>
      <c r="Q999" s="2">
        <v>0.0</v>
      </c>
      <c r="R999" s="2">
        <v>21242.0</v>
      </c>
      <c r="S999" s="2">
        <v>15206.0</v>
      </c>
      <c r="T999" s="2">
        <v>6037.0</v>
      </c>
      <c r="U999" s="2">
        <v>15206.0</v>
      </c>
      <c r="V999" s="2">
        <v>0.0</v>
      </c>
      <c r="W999" s="2">
        <v>6037.0</v>
      </c>
    </row>
    <row r="1000" ht="15.0" customHeight="1">
      <c r="A1000" s="2">
        <v>2025.0</v>
      </c>
      <c r="B1000" s="2" t="s">
        <v>72</v>
      </c>
      <c r="C1000" s="2">
        <v>3.0</v>
      </c>
      <c r="D1000" s="2" t="s">
        <v>73</v>
      </c>
      <c r="E1000" s="2" t="s">
        <v>61</v>
      </c>
      <c r="F1000" s="2" t="s">
        <v>48</v>
      </c>
      <c r="G1000" s="2" t="s">
        <v>43</v>
      </c>
      <c r="H1000" s="2" t="s">
        <v>42</v>
      </c>
      <c r="I1000" s="2" t="s">
        <v>31</v>
      </c>
      <c r="J1000" s="2">
        <v>718.0</v>
      </c>
      <c r="K1000" s="2">
        <v>493.0</v>
      </c>
      <c r="L1000" s="2">
        <v>318.0</v>
      </c>
      <c r="M1000" s="2">
        <v>250.0</v>
      </c>
      <c r="N1000" s="2">
        <v>136.0</v>
      </c>
      <c r="O1000" s="2">
        <v>346.0</v>
      </c>
      <c r="P1000" s="2">
        <v>310.0</v>
      </c>
      <c r="Q1000" s="2">
        <v>0.0</v>
      </c>
      <c r="R1000" s="2">
        <v>10327.0</v>
      </c>
      <c r="S1000" s="2">
        <v>46.0</v>
      </c>
      <c r="T1000" s="2">
        <v>10281.0</v>
      </c>
      <c r="U1000" s="2">
        <v>46.0</v>
      </c>
      <c r="V1000" s="2">
        <v>0.0</v>
      </c>
      <c r="W1000" s="2">
        <v>10281.0</v>
      </c>
    </row>
    <row r="1001" ht="15.0" customHeight="1">
      <c r="A1001" s="2">
        <v>2025.0</v>
      </c>
      <c r="B1001" s="2" t="s">
        <v>72</v>
      </c>
      <c r="C1001" s="2">
        <v>3.0</v>
      </c>
      <c r="D1001" s="2" t="s">
        <v>73</v>
      </c>
      <c r="E1001" s="2" t="s">
        <v>61</v>
      </c>
      <c r="F1001" s="2" t="s">
        <v>48</v>
      </c>
      <c r="G1001" s="2" t="s">
        <v>44</v>
      </c>
      <c r="H1001" s="2" t="s">
        <v>45</v>
      </c>
      <c r="I1001" s="2" t="s">
        <v>29</v>
      </c>
      <c r="J1001" s="2">
        <v>1358.0</v>
      </c>
      <c r="K1001" s="2">
        <v>610.0</v>
      </c>
      <c r="L1001" s="2">
        <v>169.0</v>
      </c>
      <c r="M1001" s="2">
        <v>160.0</v>
      </c>
      <c r="N1001" s="2">
        <v>143.0</v>
      </c>
      <c r="O1001" s="2">
        <v>278.0</v>
      </c>
      <c r="P1001" s="2">
        <v>220.0</v>
      </c>
      <c r="Q1001" s="2">
        <v>79.0</v>
      </c>
      <c r="R1001" s="2">
        <v>5087.0</v>
      </c>
      <c r="S1001" s="2">
        <v>7528.0</v>
      </c>
      <c r="T1001" s="2">
        <v>-2441.0</v>
      </c>
      <c r="U1001" s="2">
        <v>7528.0</v>
      </c>
      <c r="V1001" s="2">
        <v>0.0</v>
      </c>
      <c r="W1001" s="2">
        <v>-2441.0</v>
      </c>
    </row>
    <row r="1002" ht="15.0" customHeight="1">
      <c r="A1002" s="2">
        <v>2025.0</v>
      </c>
      <c r="B1002" s="2" t="s">
        <v>72</v>
      </c>
      <c r="C1002" s="2">
        <v>3.0</v>
      </c>
      <c r="D1002" s="2" t="s">
        <v>73</v>
      </c>
      <c r="E1002" s="2" t="s">
        <v>61</v>
      </c>
      <c r="F1002" s="2" t="s">
        <v>48</v>
      </c>
      <c r="G1002" s="2" t="s">
        <v>44</v>
      </c>
      <c r="H1002" s="2" t="s">
        <v>45</v>
      </c>
      <c r="I1002" s="2" t="s">
        <v>30</v>
      </c>
      <c r="J1002" s="2">
        <v>6566.0</v>
      </c>
      <c r="K1002" s="2">
        <v>3331.0</v>
      </c>
      <c r="L1002" s="2">
        <v>756.0</v>
      </c>
      <c r="M1002" s="2">
        <v>700.0</v>
      </c>
      <c r="N1002" s="2">
        <v>487.0</v>
      </c>
      <c r="O1002" s="2">
        <v>802.0</v>
      </c>
      <c r="P1002" s="2">
        <v>626.0</v>
      </c>
      <c r="Q1002" s="2">
        <v>197.0</v>
      </c>
      <c r="R1002" s="2">
        <v>13231.0</v>
      </c>
      <c r="S1002" s="2">
        <v>9348.0</v>
      </c>
      <c r="T1002" s="2">
        <v>3883.0</v>
      </c>
      <c r="U1002" s="2">
        <v>9348.0</v>
      </c>
      <c r="V1002" s="2">
        <v>0.0</v>
      </c>
      <c r="W1002" s="2">
        <v>3883.0</v>
      </c>
    </row>
    <row r="1003" ht="15.0" customHeight="1">
      <c r="A1003" s="2">
        <v>2025.0</v>
      </c>
      <c r="B1003" s="2" t="s">
        <v>72</v>
      </c>
      <c r="C1003" s="2">
        <v>3.0</v>
      </c>
      <c r="D1003" s="2" t="s">
        <v>73</v>
      </c>
      <c r="E1003" s="2" t="s">
        <v>61</v>
      </c>
      <c r="F1003" s="2" t="s">
        <v>48</v>
      </c>
      <c r="G1003" s="2" t="s">
        <v>44</v>
      </c>
      <c r="H1003" s="2" t="s">
        <v>45</v>
      </c>
      <c r="I1003" s="2" t="s">
        <v>31</v>
      </c>
      <c r="J1003" s="2">
        <v>302.0</v>
      </c>
      <c r="K1003" s="2">
        <v>191.0</v>
      </c>
      <c r="L1003" s="2">
        <v>81.0</v>
      </c>
      <c r="M1003" s="2">
        <v>73.0</v>
      </c>
      <c r="N1003" s="2">
        <v>53.0</v>
      </c>
      <c r="O1003" s="2">
        <v>106.0</v>
      </c>
      <c r="P1003" s="2">
        <v>85.0</v>
      </c>
      <c r="Q1003" s="2">
        <v>29.0</v>
      </c>
      <c r="R1003" s="2">
        <v>1863.0</v>
      </c>
      <c r="S1003" s="2">
        <v>154.0</v>
      </c>
      <c r="T1003" s="2">
        <v>1709.0</v>
      </c>
      <c r="U1003" s="2">
        <v>154.0</v>
      </c>
      <c r="V1003" s="2">
        <v>0.0</v>
      </c>
      <c r="W1003" s="2">
        <v>1709.0</v>
      </c>
    </row>
    <row r="1004" ht="15.0" customHeight="1">
      <c r="A1004" s="2">
        <v>2025.0</v>
      </c>
      <c r="B1004" s="2" t="s">
        <v>72</v>
      </c>
      <c r="C1004" s="2">
        <v>3.0</v>
      </c>
      <c r="D1004" s="2" t="s">
        <v>73</v>
      </c>
      <c r="E1004" s="2" t="s">
        <v>61</v>
      </c>
      <c r="F1004" s="2" t="s">
        <v>48</v>
      </c>
      <c r="G1004" s="2" t="s">
        <v>46</v>
      </c>
      <c r="H1004" s="2" t="s">
        <v>47</v>
      </c>
      <c r="I1004" s="2" t="s">
        <v>29</v>
      </c>
      <c r="J1004" s="2">
        <v>14975.0</v>
      </c>
      <c r="K1004" s="2">
        <v>7065.0</v>
      </c>
      <c r="L1004" s="2">
        <v>2551.0</v>
      </c>
      <c r="M1004" s="2">
        <v>2389.0</v>
      </c>
      <c r="N1004" s="2">
        <v>2153.0</v>
      </c>
      <c r="O1004" s="2">
        <v>4461.0</v>
      </c>
      <c r="P1004" s="2">
        <v>3769.0</v>
      </c>
      <c r="Q1004" s="2">
        <v>1481.0</v>
      </c>
      <c r="R1004" s="2">
        <v>125175.0</v>
      </c>
      <c r="S1004" s="2">
        <v>81456.0</v>
      </c>
      <c r="T1004" s="2">
        <v>43718.0</v>
      </c>
      <c r="U1004" s="2">
        <v>81456.0</v>
      </c>
      <c r="V1004" s="2">
        <v>0.0</v>
      </c>
      <c r="W1004" s="2">
        <v>43718.0</v>
      </c>
    </row>
    <row r="1005" ht="15.0" customHeight="1">
      <c r="A1005" s="2">
        <v>2025.0</v>
      </c>
      <c r="B1005" s="2" t="s">
        <v>72</v>
      </c>
      <c r="C1005" s="2">
        <v>3.0</v>
      </c>
      <c r="D1005" s="2" t="s">
        <v>73</v>
      </c>
      <c r="E1005" s="2" t="s">
        <v>61</v>
      </c>
      <c r="F1005" s="2" t="s">
        <v>48</v>
      </c>
      <c r="G1005" s="2" t="s">
        <v>46</v>
      </c>
      <c r="H1005" s="2" t="s">
        <v>47</v>
      </c>
      <c r="I1005" s="2" t="s">
        <v>30</v>
      </c>
      <c r="J1005" s="2">
        <v>4050.0</v>
      </c>
      <c r="K1005" s="2">
        <v>1365.0</v>
      </c>
      <c r="L1005" s="2">
        <v>679.0</v>
      </c>
      <c r="M1005" s="2">
        <v>653.0</v>
      </c>
      <c r="N1005" s="2">
        <v>615.0</v>
      </c>
      <c r="O1005" s="2">
        <v>1263.0</v>
      </c>
      <c r="P1005" s="2">
        <v>1052.0</v>
      </c>
      <c r="Q1005" s="2">
        <v>426.0</v>
      </c>
      <c r="R1005" s="2">
        <v>33547.0</v>
      </c>
      <c r="S1005" s="2">
        <v>20104.0</v>
      </c>
      <c r="T1005" s="2">
        <v>13444.0</v>
      </c>
      <c r="U1005" s="2">
        <v>20104.0</v>
      </c>
      <c r="V1005" s="2">
        <v>0.0</v>
      </c>
      <c r="W1005" s="2">
        <v>13444.0</v>
      </c>
    </row>
    <row r="1006" ht="15.0" customHeight="1">
      <c r="A1006" s="2">
        <v>2025.0</v>
      </c>
      <c r="B1006" s="2" t="s">
        <v>72</v>
      </c>
      <c r="C1006" s="2">
        <v>3.0</v>
      </c>
      <c r="D1006" s="2" t="s">
        <v>73</v>
      </c>
      <c r="E1006" s="2" t="s">
        <v>61</v>
      </c>
      <c r="F1006" s="2" t="s">
        <v>48</v>
      </c>
      <c r="G1006" s="2" t="s">
        <v>46</v>
      </c>
      <c r="H1006" s="2" t="s">
        <v>47</v>
      </c>
      <c r="I1006" s="2" t="s">
        <v>31</v>
      </c>
      <c r="J1006" s="2">
        <v>1131.0</v>
      </c>
      <c r="K1006" s="2">
        <v>507.0</v>
      </c>
      <c r="L1006" s="2">
        <v>279.0</v>
      </c>
      <c r="M1006" s="2">
        <v>224.0</v>
      </c>
      <c r="N1006" s="2">
        <v>209.0</v>
      </c>
      <c r="O1006" s="2">
        <v>430.0</v>
      </c>
      <c r="P1006" s="2">
        <v>357.0</v>
      </c>
      <c r="Q1006" s="2">
        <v>162.0</v>
      </c>
      <c r="R1006" s="2">
        <v>14149.0</v>
      </c>
      <c r="S1006" s="2">
        <v>163.0</v>
      </c>
      <c r="T1006" s="2">
        <v>13986.0</v>
      </c>
      <c r="U1006" s="2">
        <v>163.0</v>
      </c>
      <c r="V1006" s="2">
        <v>0.0</v>
      </c>
      <c r="W1006" s="2">
        <v>13986.0</v>
      </c>
    </row>
    <row r="1007" ht="15.0" customHeight="1">
      <c r="A1007" s="2">
        <v>2025.0</v>
      </c>
      <c r="B1007" s="2" t="s">
        <v>74</v>
      </c>
      <c r="C1007" s="2">
        <v>5.0</v>
      </c>
      <c r="D1007" s="2" t="s">
        <v>75</v>
      </c>
      <c r="E1007" s="2" t="s">
        <v>61</v>
      </c>
      <c r="F1007" s="2" t="s">
        <v>26</v>
      </c>
      <c r="G1007" s="2" t="s">
        <v>27</v>
      </c>
      <c r="H1007" s="2" t="s">
        <v>28</v>
      </c>
      <c r="I1007" s="2" t="s">
        <v>29</v>
      </c>
      <c r="J1007" s="2">
        <v>5801.0</v>
      </c>
      <c r="K1007" s="2">
        <v>3007.0</v>
      </c>
      <c r="L1007" s="2">
        <v>910.0</v>
      </c>
      <c r="M1007" s="2">
        <v>862.0</v>
      </c>
      <c r="N1007" s="2">
        <v>717.0</v>
      </c>
      <c r="O1007" s="2">
        <v>1376.0</v>
      </c>
      <c r="P1007" s="2">
        <v>1189.0</v>
      </c>
      <c r="Q1007" s="2">
        <v>220.0</v>
      </c>
      <c r="R1007" s="2">
        <v>22622.0</v>
      </c>
      <c r="S1007" s="2">
        <v>15538.0</v>
      </c>
      <c r="T1007" s="2">
        <v>7084.0</v>
      </c>
      <c r="U1007" s="2">
        <v>14686.0</v>
      </c>
      <c r="V1007" s="2">
        <v>852.0</v>
      </c>
      <c r="W1007" s="2">
        <v>7936.0</v>
      </c>
    </row>
    <row r="1008" ht="15.0" customHeight="1">
      <c r="A1008" s="2">
        <v>2025.0</v>
      </c>
      <c r="B1008" s="2" t="s">
        <v>74</v>
      </c>
      <c r="C1008" s="2">
        <v>5.0</v>
      </c>
      <c r="D1008" s="2" t="s">
        <v>75</v>
      </c>
      <c r="E1008" s="2" t="s">
        <v>61</v>
      </c>
      <c r="F1008" s="2" t="s">
        <v>26</v>
      </c>
      <c r="G1008" s="2" t="s">
        <v>27</v>
      </c>
      <c r="H1008" s="2" t="s">
        <v>28</v>
      </c>
      <c r="I1008" s="2" t="s">
        <v>30</v>
      </c>
      <c r="J1008" s="2">
        <v>1456.0</v>
      </c>
      <c r="K1008" s="2">
        <v>600.0</v>
      </c>
      <c r="L1008" s="2">
        <v>166.0</v>
      </c>
      <c r="M1008" s="2">
        <v>162.0</v>
      </c>
      <c r="N1008" s="2">
        <v>136.0</v>
      </c>
      <c r="O1008" s="2">
        <v>268.0</v>
      </c>
      <c r="P1008" s="2">
        <v>238.0</v>
      </c>
      <c r="Q1008" s="2">
        <v>41.0</v>
      </c>
      <c r="R1008" s="2">
        <v>4549.0</v>
      </c>
      <c r="S1008" s="2">
        <v>2525.0</v>
      </c>
      <c r="T1008" s="2">
        <v>2025.0</v>
      </c>
      <c r="U1008" s="2">
        <v>2520.0</v>
      </c>
      <c r="V1008" s="2">
        <v>5.0</v>
      </c>
      <c r="W1008" s="2">
        <v>2030.0</v>
      </c>
    </row>
    <row r="1009" ht="15.0" customHeight="1">
      <c r="A1009" s="2">
        <v>2025.0</v>
      </c>
      <c r="B1009" s="2" t="s">
        <v>74</v>
      </c>
      <c r="C1009" s="2">
        <v>5.0</v>
      </c>
      <c r="D1009" s="2" t="s">
        <v>75</v>
      </c>
      <c r="E1009" s="2" t="s">
        <v>61</v>
      </c>
      <c r="F1009" s="2" t="s">
        <v>26</v>
      </c>
      <c r="G1009" s="2" t="s">
        <v>27</v>
      </c>
      <c r="H1009" s="2" t="s">
        <v>28</v>
      </c>
      <c r="I1009" s="2" t="s">
        <v>31</v>
      </c>
      <c r="J1009" s="2">
        <v>475.0</v>
      </c>
      <c r="K1009" s="2">
        <v>256.0</v>
      </c>
      <c r="L1009" s="2">
        <v>149.0</v>
      </c>
      <c r="M1009" s="2">
        <v>126.0</v>
      </c>
      <c r="N1009" s="2">
        <v>99.0</v>
      </c>
      <c r="O1009" s="2">
        <v>210.0</v>
      </c>
      <c r="P1009" s="2">
        <v>184.0</v>
      </c>
      <c r="Q1009" s="2">
        <v>26.0</v>
      </c>
      <c r="R1009" s="2">
        <v>3348.0</v>
      </c>
      <c r="S1009" s="2">
        <v>413.0</v>
      </c>
      <c r="T1009" s="2">
        <v>2935.0</v>
      </c>
      <c r="U1009" s="2">
        <v>413.0</v>
      </c>
      <c r="V1009" s="2">
        <v>0.0</v>
      </c>
      <c r="W1009" s="2">
        <v>2935.0</v>
      </c>
    </row>
    <row r="1010" ht="15.0" customHeight="1">
      <c r="A1010" s="2">
        <v>2025.0</v>
      </c>
      <c r="B1010" s="2" t="s">
        <v>74</v>
      </c>
      <c r="C1010" s="2">
        <v>5.0</v>
      </c>
      <c r="D1010" s="2" t="s">
        <v>75</v>
      </c>
      <c r="E1010" s="2" t="s">
        <v>61</v>
      </c>
      <c r="F1010" s="2" t="s">
        <v>26</v>
      </c>
      <c r="G1010" s="2" t="s">
        <v>32</v>
      </c>
      <c r="H1010" s="2" t="s">
        <v>28</v>
      </c>
      <c r="I1010" s="2" t="s">
        <v>29</v>
      </c>
      <c r="J1010" s="2">
        <v>30662.0</v>
      </c>
      <c r="K1010" s="2">
        <v>17029.0</v>
      </c>
      <c r="L1010" s="2">
        <v>8860.0</v>
      </c>
      <c r="M1010" s="2">
        <v>8426.0</v>
      </c>
      <c r="N1010" s="2">
        <v>5001.0</v>
      </c>
      <c r="O1010" s="2">
        <v>6011.0</v>
      </c>
      <c r="P1010" s="2">
        <v>5115.0</v>
      </c>
      <c r="Q1010" s="2">
        <v>0.0</v>
      </c>
      <c r="R1010" s="2">
        <v>45885.0</v>
      </c>
      <c r="S1010" s="2">
        <v>28841.0</v>
      </c>
      <c r="T1010" s="2">
        <v>17044.0</v>
      </c>
      <c r="U1010" s="2">
        <v>28422.0</v>
      </c>
      <c r="V1010" s="2">
        <v>419.0</v>
      </c>
      <c r="W1010" s="2">
        <v>17463.0</v>
      </c>
    </row>
    <row r="1011" ht="15.0" customHeight="1">
      <c r="A1011" s="2">
        <v>2025.0</v>
      </c>
      <c r="B1011" s="2" t="s">
        <v>74</v>
      </c>
      <c r="C1011" s="2">
        <v>5.0</v>
      </c>
      <c r="D1011" s="2" t="s">
        <v>75</v>
      </c>
      <c r="E1011" s="2" t="s">
        <v>61</v>
      </c>
      <c r="F1011" s="2" t="s">
        <v>26</v>
      </c>
      <c r="G1011" s="2" t="s">
        <v>32</v>
      </c>
      <c r="H1011" s="2" t="s">
        <v>28</v>
      </c>
      <c r="I1011" s="2" t="s">
        <v>30</v>
      </c>
      <c r="J1011" s="2">
        <v>11836.0</v>
      </c>
      <c r="K1011" s="2">
        <v>5085.0</v>
      </c>
      <c r="L1011" s="2">
        <v>2578.0</v>
      </c>
      <c r="M1011" s="2">
        <v>2453.0</v>
      </c>
      <c r="N1011" s="2">
        <v>1308.0</v>
      </c>
      <c r="O1011" s="2">
        <v>1469.0</v>
      </c>
      <c r="P1011" s="2">
        <v>1269.0</v>
      </c>
      <c r="Q1011" s="2">
        <v>0.0</v>
      </c>
      <c r="R1011" s="2">
        <v>10675.0</v>
      </c>
      <c r="S1011" s="2">
        <v>11609.0</v>
      </c>
      <c r="T1011" s="2">
        <v>-934.0</v>
      </c>
      <c r="U1011" s="2">
        <v>11587.0</v>
      </c>
      <c r="V1011" s="2">
        <v>22.0</v>
      </c>
      <c r="W1011" s="2">
        <v>-912.0</v>
      </c>
    </row>
    <row r="1012" ht="15.0" customHeight="1">
      <c r="A1012" s="2">
        <v>2025.0</v>
      </c>
      <c r="B1012" s="2" t="s">
        <v>74</v>
      </c>
      <c r="C1012" s="2">
        <v>5.0</v>
      </c>
      <c r="D1012" s="2" t="s">
        <v>75</v>
      </c>
      <c r="E1012" s="2" t="s">
        <v>61</v>
      </c>
      <c r="F1012" s="2" t="s">
        <v>26</v>
      </c>
      <c r="G1012" s="2" t="s">
        <v>32</v>
      </c>
      <c r="H1012" s="2" t="s">
        <v>28</v>
      </c>
      <c r="I1012" s="2" t="s">
        <v>31</v>
      </c>
      <c r="J1012" s="2">
        <v>9766.0</v>
      </c>
      <c r="K1012" s="2">
        <v>5970.0</v>
      </c>
      <c r="L1012" s="2">
        <v>4241.0</v>
      </c>
      <c r="M1012" s="2">
        <v>3884.0</v>
      </c>
      <c r="N1012" s="2">
        <v>2151.0</v>
      </c>
      <c r="O1012" s="2">
        <v>2558.0</v>
      </c>
      <c r="P1012" s="2">
        <v>2180.0</v>
      </c>
      <c r="Q1012" s="2">
        <v>0.0</v>
      </c>
      <c r="R1012" s="2">
        <v>19127.0</v>
      </c>
      <c r="S1012" s="2">
        <v>920.0</v>
      </c>
      <c r="T1012" s="2">
        <v>18206.0</v>
      </c>
      <c r="U1012" s="2">
        <v>920.0</v>
      </c>
      <c r="V1012" s="2">
        <v>0.0</v>
      </c>
      <c r="W1012" s="2">
        <v>18206.0</v>
      </c>
    </row>
    <row r="1013" ht="15.0" customHeight="1">
      <c r="A1013" s="2">
        <v>2025.0</v>
      </c>
      <c r="B1013" s="2" t="s">
        <v>74</v>
      </c>
      <c r="C1013" s="2">
        <v>5.0</v>
      </c>
      <c r="D1013" s="2" t="s">
        <v>75</v>
      </c>
      <c r="E1013" s="2" t="s">
        <v>61</v>
      </c>
      <c r="F1013" s="2" t="s">
        <v>26</v>
      </c>
      <c r="G1013" s="2" t="s">
        <v>33</v>
      </c>
      <c r="H1013" s="2" t="s">
        <v>28</v>
      </c>
      <c r="I1013" s="2" t="s">
        <v>29</v>
      </c>
      <c r="J1013" s="2">
        <v>8767.0</v>
      </c>
      <c r="K1013" s="2">
        <v>4636.0</v>
      </c>
      <c r="L1013" s="2">
        <v>2071.0</v>
      </c>
      <c r="M1013" s="2">
        <v>1999.0</v>
      </c>
      <c r="N1013" s="2">
        <v>1337.0</v>
      </c>
      <c r="O1013" s="2">
        <v>1905.0</v>
      </c>
      <c r="P1013" s="2">
        <v>1784.0</v>
      </c>
      <c r="Q1013" s="2">
        <v>348.0</v>
      </c>
      <c r="R1013" s="2">
        <v>18055.0</v>
      </c>
      <c r="S1013" s="2">
        <v>12230.0</v>
      </c>
      <c r="T1013" s="2">
        <v>5825.0</v>
      </c>
      <c r="U1013" s="2">
        <v>12136.0</v>
      </c>
      <c r="V1013" s="2">
        <v>93.0</v>
      </c>
      <c r="W1013" s="2">
        <v>5918.0</v>
      </c>
    </row>
    <row r="1014" ht="15.0" customHeight="1">
      <c r="A1014" s="2">
        <v>2025.0</v>
      </c>
      <c r="B1014" s="2" t="s">
        <v>74</v>
      </c>
      <c r="C1014" s="2">
        <v>5.0</v>
      </c>
      <c r="D1014" s="2" t="s">
        <v>75</v>
      </c>
      <c r="E1014" s="2" t="s">
        <v>61</v>
      </c>
      <c r="F1014" s="2" t="s">
        <v>26</v>
      </c>
      <c r="G1014" s="2" t="s">
        <v>33</v>
      </c>
      <c r="H1014" s="2" t="s">
        <v>28</v>
      </c>
      <c r="I1014" s="2" t="s">
        <v>30</v>
      </c>
      <c r="J1014" s="2">
        <v>4251.0</v>
      </c>
      <c r="K1014" s="2">
        <v>2207.0</v>
      </c>
      <c r="L1014" s="2">
        <v>942.0</v>
      </c>
      <c r="M1014" s="2">
        <v>884.0</v>
      </c>
      <c r="N1014" s="2">
        <v>480.0</v>
      </c>
      <c r="O1014" s="2">
        <v>636.0</v>
      </c>
      <c r="P1014" s="2">
        <v>585.0</v>
      </c>
      <c r="Q1014" s="2">
        <v>57.0</v>
      </c>
      <c r="R1014" s="2">
        <v>5283.0</v>
      </c>
      <c r="S1014" s="2">
        <v>4063.0</v>
      </c>
      <c r="T1014" s="2">
        <v>1220.0</v>
      </c>
      <c r="U1014" s="2">
        <v>4063.0</v>
      </c>
      <c r="V1014" s="2">
        <v>0.0</v>
      </c>
      <c r="W1014" s="2">
        <v>1220.0</v>
      </c>
    </row>
    <row r="1015" ht="15.0" customHeight="1">
      <c r="A1015" s="2">
        <v>2025.0</v>
      </c>
      <c r="B1015" s="2" t="s">
        <v>74</v>
      </c>
      <c r="C1015" s="2">
        <v>5.0</v>
      </c>
      <c r="D1015" s="2" t="s">
        <v>75</v>
      </c>
      <c r="E1015" s="2" t="s">
        <v>61</v>
      </c>
      <c r="F1015" s="2" t="s">
        <v>26</v>
      </c>
      <c r="G1015" s="2" t="s">
        <v>33</v>
      </c>
      <c r="H1015" s="2" t="s">
        <v>28</v>
      </c>
      <c r="I1015" s="2" t="s">
        <v>31</v>
      </c>
      <c r="J1015" s="2">
        <v>390.0</v>
      </c>
      <c r="K1015" s="2">
        <v>168.0</v>
      </c>
      <c r="L1015" s="2">
        <v>149.0</v>
      </c>
      <c r="M1015" s="2">
        <v>131.0</v>
      </c>
      <c r="N1015" s="2">
        <v>86.0</v>
      </c>
      <c r="O1015" s="2">
        <v>135.0</v>
      </c>
      <c r="P1015" s="2">
        <v>127.0</v>
      </c>
      <c r="Q1015" s="2">
        <v>14.0</v>
      </c>
      <c r="R1015" s="2">
        <v>1290.0</v>
      </c>
      <c r="S1015" s="2">
        <v>92.0</v>
      </c>
      <c r="T1015" s="2">
        <v>1198.0</v>
      </c>
      <c r="U1015" s="2">
        <v>92.0</v>
      </c>
      <c r="V1015" s="2">
        <v>0.0</v>
      </c>
      <c r="W1015" s="2">
        <v>1198.0</v>
      </c>
    </row>
    <row r="1016" ht="15.0" customHeight="1">
      <c r="A1016" s="2">
        <v>2025.0</v>
      </c>
      <c r="B1016" s="2" t="s">
        <v>74</v>
      </c>
      <c r="C1016" s="2">
        <v>5.0</v>
      </c>
      <c r="D1016" s="2" t="s">
        <v>75</v>
      </c>
      <c r="E1016" s="2" t="s">
        <v>61</v>
      </c>
      <c r="F1016" s="2" t="s">
        <v>26</v>
      </c>
      <c r="G1016" s="2" t="s">
        <v>34</v>
      </c>
      <c r="H1016" s="2" t="s">
        <v>35</v>
      </c>
      <c r="I1016" s="2" t="s">
        <v>29</v>
      </c>
      <c r="J1016" s="2">
        <v>11428.0</v>
      </c>
      <c r="K1016" s="2">
        <v>7165.0</v>
      </c>
      <c r="L1016" s="2">
        <v>3727.0</v>
      </c>
      <c r="M1016" s="2">
        <v>3575.0</v>
      </c>
      <c r="N1016" s="2">
        <v>1128.0</v>
      </c>
      <c r="O1016" s="2">
        <v>1425.0</v>
      </c>
      <c r="P1016" s="2">
        <v>1083.0</v>
      </c>
      <c r="Q1016" s="2">
        <v>106.0</v>
      </c>
      <c r="R1016" s="2">
        <v>13350.0</v>
      </c>
      <c r="S1016" s="2">
        <v>9986.0</v>
      </c>
      <c r="T1016" s="2">
        <v>3364.0</v>
      </c>
      <c r="U1016" s="2">
        <v>9659.0</v>
      </c>
      <c r="V1016" s="2">
        <v>327.0</v>
      </c>
      <c r="W1016" s="2">
        <v>3691.0</v>
      </c>
    </row>
    <row r="1017" ht="15.0" customHeight="1">
      <c r="A1017" s="2">
        <v>2025.0</v>
      </c>
      <c r="B1017" s="2" t="s">
        <v>74</v>
      </c>
      <c r="C1017" s="2">
        <v>5.0</v>
      </c>
      <c r="D1017" s="2" t="s">
        <v>75</v>
      </c>
      <c r="E1017" s="2" t="s">
        <v>61</v>
      </c>
      <c r="F1017" s="2" t="s">
        <v>26</v>
      </c>
      <c r="G1017" s="2" t="s">
        <v>34</v>
      </c>
      <c r="H1017" s="2" t="s">
        <v>35</v>
      </c>
      <c r="I1017" s="2" t="s">
        <v>30</v>
      </c>
      <c r="J1017" s="2">
        <v>4033.0</v>
      </c>
      <c r="K1017" s="2">
        <v>2063.0</v>
      </c>
      <c r="L1017" s="2">
        <v>964.0</v>
      </c>
      <c r="M1017" s="2">
        <v>901.0</v>
      </c>
      <c r="N1017" s="2">
        <v>250.0</v>
      </c>
      <c r="O1017" s="2">
        <v>320.0</v>
      </c>
      <c r="P1017" s="2">
        <v>243.0</v>
      </c>
      <c r="Q1017" s="2">
        <v>22.0</v>
      </c>
      <c r="R1017" s="2">
        <v>3204.0</v>
      </c>
      <c r="S1017" s="2">
        <v>2442.0</v>
      </c>
      <c r="T1017" s="2">
        <v>762.0</v>
      </c>
      <c r="U1017" s="2">
        <v>2442.0</v>
      </c>
      <c r="V1017" s="2">
        <v>0.0</v>
      </c>
      <c r="W1017" s="2">
        <v>762.0</v>
      </c>
    </row>
    <row r="1018" ht="15.0" customHeight="1">
      <c r="A1018" s="2">
        <v>2025.0</v>
      </c>
      <c r="B1018" s="2" t="s">
        <v>74</v>
      </c>
      <c r="C1018" s="2">
        <v>5.0</v>
      </c>
      <c r="D1018" s="2" t="s">
        <v>75</v>
      </c>
      <c r="E1018" s="2" t="s">
        <v>61</v>
      </c>
      <c r="F1018" s="2" t="s">
        <v>26</v>
      </c>
      <c r="G1018" s="2" t="s">
        <v>34</v>
      </c>
      <c r="H1018" s="2" t="s">
        <v>35</v>
      </c>
      <c r="I1018" s="2" t="s">
        <v>31</v>
      </c>
      <c r="J1018" s="2">
        <v>1006.0</v>
      </c>
      <c r="K1018" s="2">
        <v>621.0</v>
      </c>
      <c r="L1018" s="2">
        <v>363.0</v>
      </c>
      <c r="M1018" s="2">
        <v>335.0</v>
      </c>
      <c r="N1018" s="2">
        <v>97.0</v>
      </c>
      <c r="O1018" s="2">
        <v>117.0</v>
      </c>
      <c r="P1018" s="2">
        <v>91.0</v>
      </c>
      <c r="Q1018" s="2">
        <v>6.0</v>
      </c>
      <c r="R1018" s="2">
        <v>1129.0</v>
      </c>
      <c r="S1018" s="2">
        <v>5.0</v>
      </c>
      <c r="T1018" s="2">
        <v>1124.0</v>
      </c>
      <c r="U1018" s="2">
        <v>5.0</v>
      </c>
      <c r="V1018" s="2">
        <v>0.0</v>
      </c>
      <c r="W1018" s="2">
        <v>1124.0</v>
      </c>
    </row>
    <row r="1019" ht="15.0" customHeight="1">
      <c r="A1019" s="2">
        <v>2025.0</v>
      </c>
      <c r="B1019" s="2" t="s">
        <v>74</v>
      </c>
      <c r="C1019" s="2">
        <v>5.0</v>
      </c>
      <c r="D1019" s="2" t="s">
        <v>75</v>
      </c>
      <c r="E1019" s="2" t="s">
        <v>61</v>
      </c>
      <c r="F1019" s="2" t="s">
        <v>26</v>
      </c>
      <c r="G1019" s="2" t="s">
        <v>36</v>
      </c>
      <c r="H1019" s="2" t="s">
        <v>35</v>
      </c>
      <c r="I1019" s="2" t="s">
        <v>29</v>
      </c>
      <c r="J1019" s="2">
        <v>5634.0</v>
      </c>
      <c r="K1019" s="2">
        <v>3822.0</v>
      </c>
      <c r="L1019" s="2">
        <v>2307.0</v>
      </c>
      <c r="M1019" s="2">
        <v>2225.0</v>
      </c>
      <c r="N1019" s="2">
        <v>909.0</v>
      </c>
      <c r="O1019" s="2">
        <v>1151.0</v>
      </c>
      <c r="P1019" s="2">
        <v>878.0</v>
      </c>
      <c r="Q1019" s="2">
        <v>0.0</v>
      </c>
      <c r="R1019" s="2">
        <v>9767.0</v>
      </c>
      <c r="S1019" s="2">
        <v>6115.0</v>
      </c>
      <c r="T1019" s="2">
        <v>3652.0</v>
      </c>
      <c r="U1019" s="2">
        <v>6115.0</v>
      </c>
      <c r="V1019" s="2">
        <v>0.0</v>
      </c>
      <c r="W1019" s="2">
        <v>3652.0</v>
      </c>
    </row>
    <row r="1020" ht="15.0" customHeight="1">
      <c r="A1020" s="2">
        <v>2025.0</v>
      </c>
      <c r="B1020" s="2" t="s">
        <v>74</v>
      </c>
      <c r="C1020" s="2">
        <v>5.0</v>
      </c>
      <c r="D1020" s="2" t="s">
        <v>75</v>
      </c>
      <c r="E1020" s="2" t="s">
        <v>61</v>
      </c>
      <c r="F1020" s="2" t="s">
        <v>26</v>
      </c>
      <c r="G1020" s="2" t="s">
        <v>36</v>
      </c>
      <c r="H1020" s="2" t="s">
        <v>35</v>
      </c>
      <c r="I1020" s="2" t="s">
        <v>30</v>
      </c>
      <c r="J1020" s="2">
        <v>801.0</v>
      </c>
      <c r="K1020" s="2">
        <v>368.0</v>
      </c>
      <c r="L1020" s="2">
        <v>195.0</v>
      </c>
      <c r="M1020" s="2">
        <v>186.0</v>
      </c>
      <c r="N1020" s="2">
        <v>79.0</v>
      </c>
      <c r="O1020" s="2">
        <v>106.0</v>
      </c>
      <c r="P1020" s="2">
        <v>91.0</v>
      </c>
      <c r="Q1020" s="2">
        <v>0.0</v>
      </c>
      <c r="R1020" s="2">
        <v>1070.0</v>
      </c>
      <c r="S1020" s="2">
        <v>964.0</v>
      </c>
      <c r="T1020" s="2">
        <v>107.0</v>
      </c>
      <c r="U1020" s="2">
        <v>891.0</v>
      </c>
      <c r="V1020" s="2">
        <v>72.0</v>
      </c>
      <c r="W1020" s="2">
        <v>179.0</v>
      </c>
    </row>
    <row r="1021" ht="15.0" customHeight="1">
      <c r="A1021" s="2">
        <v>2025.0</v>
      </c>
      <c r="B1021" s="2" t="s">
        <v>74</v>
      </c>
      <c r="C1021" s="2">
        <v>5.0</v>
      </c>
      <c r="D1021" s="2" t="s">
        <v>75</v>
      </c>
      <c r="E1021" s="2" t="s">
        <v>61</v>
      </c>
      <c r="F1021" s="2" t="s">
        <v>26</v>
      </c>
      <c r="G1021" s="2" t="s">
        <v>36</v>
      </c>
      <c r="H1021" s="2" t="s">
        <v>35</v>
      </c>
      <c r="I1021" s="2" t="s">
        <v>31</v>
      </c>
      <c r="J1021" s="2">
        <v>523.0</v>
      </c>
      <c r="K1021" s="2">
        <v>339.0</v>
      </c>
      <c r="L1021" s="2">
        <v>216.0</v>
      </c>
      <c r="M1021" s="2">
        <v>199.0</v>
      </c>
      <c r="N1021" s="2">
        <v>87.0</v>
      </c>
      <c r="O1021" s="2">
        <v>117.0</v>
      </c>
      <c r="P1021" s="2">
        <v>93.0</v>
      </c>
      <c r="Q1021" s="2">
        <v>0.0</v>
      </c>
      <c r="R1021" s="2">
        <v>1073.0</v>
      </c>
      <c r="S1021" s="2">
        <v>0.0</v>
      </c>
      <c r="T1021" s="2">
        <v>1073.0</v>
      </c>
      <c r="U1021" s="2">
        <v>0.0</v>
      </c>
      <c r="V1021" s="2">
        <v>0.0</v>
      </c>
      <c r="W1021" s="2">
        <v>1073.0</v>
      </c>
    </row>
    <row r="1022" ht="15.0" customHeight="1">
      <c r="A1022" s="2">
        <v>2025.0</v>
      </c>
      <c r="B1022" s="2" t="s">
        <v>74</v>
      </c>
      <c r="C1022" s="2">
        <v>5.0</v>
      </c>
      <c r="D1022" s="2" t="s">
        <v>75</v>
      </c>
      <c r="E1022" s="2" t="s">
        <v>61</v>
      </c>
      <c r="F1022" s="2" t="s">
        <v>26</v>
      </c>
      <c r="G1022" s="2" t="s">
        <v>37</v>
      </c>
      <c r="H1022" s="2" t="s">
        <v>35</v>
      </c>
      <c r="I1022" s="2" t="s">
        <v>29</v>
      </c>
      <c r="J1022" s="2">
        <v>847.0</v>
      </c>
      <c r="K1022" s="2">
        <v>428.0</v>
      </c>
      <c r="L1022" s="2">
        <v>193.0</v>
      </c>
      <c r="M1022" s="2">
        <v>176.0</v>
      </c>
      <c r="N1022" s="2">
        <v>147.0</v>
      </c>
      <c r="O1022" s="2">
        <v>381.0</v>
      </c>
      <c r="P1022" s="2">
        <v>294.0</v>
      </c>
      <c r="Q1022" s="2">
        <v>0.0</v>
      </c>
      <c r="R1022" s="2">
        <v>6656.0</v>
      </c>
      <c r="S1022" s="2">
        <v>4549.0</v>
      </c>
      <c r="T1022" s="2">
        <v>2107.0</v>
      </c>
      <c r="U1022" s="2">
        <v>4549.0</v>
      </c>
      <c r="V1022" s="2">
        <v>0.0</v>
      </c>
      <c r="W1022" s="2">
        <v>2107.0</v>
      </c>
    </row>
    <row r="1023" ht="15.0" customHeight="1">
      <c r="A1023" s="2">
        <v>2025.0</v>
      </c>
      <c r="B1023" s="2" t="s">
        <v>74</v>
      </c>
      <c r="C1023" s="2">
        <v>5.0</v>
      </c>
      <c r="D1023" s="2" t="s">
        <v>75</v>
      </c>
      <c r="E1023" s="2" t="s">
        <v>61</v>
      </c>
      <c r="F1023" s="2" t="s">
        <v>26</v>
      </c>
      <c r="G1023" s="2" t="s">
        <v>37</v>
      </c>
      <c r="H1023" s="2" t="s">
        <v>35</v>
      </c>
      <c r="I1023" s="2" t="s">
        <v>30</v>
      </c>
      <c r="J1023" s="2">
        <v>82.0</v>
      </c>
      <c r="K1023" s="2">
        <v>8.0</v>
      </c>
      <c r="L1023" s="2">
        <v>3.0</v>
      </c>
      <c r="M1023" s="2">
        <v>2.0</v>
      </c>
      <c r="N1023" s="2">
        <v>2.0</v>
      </c>
      <c r="O1023" s="2">
        <v>8.0</v>
      </c>
      <c r="P1023" s="2">
        <v>8.0</v>
      </c>
      <c r="Q1023" s="2">
        <v>0.0</v>
      </c>
      <c r="R1023" s="2">
        <v>175.0</v>
      </c>
      <c r="S1023" s="2">
        <v>131.0</v>
      </c>
      <c r="T1023" s="2">
        <v>45.0</v>
      </c>
      <c r="U1023" s="2">
        <v>131.0</v>
      </c>
      <c r="V1023" s="2">
        <v>0.0</v>
      </c>
      <c r="W1023" s="2">
        <v>45.0</v>
      </c>
    </row>
    <row r="1024" ht="15.0" customHeight="1">
      <c r="A1024" s="2">
        <v>2025.0</v>
      </c>
      <c r="B1024" s="2" t="s">
        <v>74</v>
      </c>
      <c r="C1024" s="2">
        <v>5.0</v>
      </c>
      <c r="D1024" s="2" t="s">
        <v>75</v>
      </c>
      <c r="E1024" s="2" t="s">
        <v>61</v>
      </c>
      <c r="F1024" s="2" t="s">
        <v>26</v>
      </c>
      <c r="G1024" s="2" t="s">
        <v>37</v>
      </c>
      <c r="H1024" s="2" t="s">
        <v>35</v>
      </c>
      <c r="I1024" s="2" t="s">
        <v>31</v>
      </c>
      <c r="J1024" s="2">
        <v>48.0</v>
      </c>
      <c r="K1024" s="2">
        <v>31.0</v>
      </c>
      <c r="L1024" s="2">
        <v>13.0</v>
      </c>
      <c r="M1024" s="2">
        <v>11.0</v>
      </c>
      <c r="N1024" s="2">
        <v>11.0</v>
      </c>
      <c r="O1024" s="2">
        <v>32.0</v>
      </c>
      <c r="P1024" s="2">
        <v>27.0</v>
      </c>
      <c r="Q1024" s="2">
        <v>0.0</v>
      </c>
      <c r="R1024" s="2">
        <v>566.0</v>
      </c>
      <c r="S1024" s="2">
        <v>0.0</v>
      </c>
      <c r="T1024" s="2">
        <v>566.0</v>
      </c>
      <c r="U1024" s="2">
        <v>0.0</v>
      </c>
      <c r="V1024" s="2">
        <v>0.0</v>
      </c>
      <c r="W1024" s="2">
        <v>566.0</v>
      </c>
    </row>
    <row r="1025" ht="15.0" customHeight="1">
      <c r="A1025" s="2">
        <v>2025.0</v>
      </c>
      <c r="B1025" s="2" t="s">
        <v>74</v>
      </c>
      <c r="C1025" s="2">
        <v>5.0</v>
      </c>
      <c r="D1025" s="2" t="s">
        <v>75</v>
      </c>
      <c r="E1025" s="2" t="s">
        <v>61</v>
      </c>
      <c r="F1025" s="2" t="s">
        <v>26</v>
      </c>
      <c r="G1025" s="2" t="s">
        <v>38</v>
      </c>
      <c r="H1025" s="2" t="s">
        <v>35</v>
      </c>
      <c r="I1025" s="2" t="s">
        <v>29</v>
      </c>
      <c r="J1025" s="2">
        <v>3546.0</v>
      </c>
      <c r="K1025" s="2">
        <v>1901.0</v>
      </c>
      <c r="L1025" s="2">
        <v>1058.0</v>
      </c>
      <c r="M1025" s="2">
        <v>1020.0</v>
      </c>
      <c r="N1025" s="2">
        <v>742.0</v>
      </c>
      <c r="O1025" s="2">
        <v>1203.0</v>
      </c>
      <c r="P1025" s="2">
        <v>968.0</v>
      </c>
      <c r="Q1025" s="2">
        <v>52.0</v>
      </c>
      <c r="R1025" s="2">
        <v>13492.0</v>
      </c>
      <c r="S1025" s="2">
        <v>7324.0</v>
      </c>
      <c r="T1025" s="2">
        <v>6168.0</v>
      </c>
      <c r="U1025" s="2">
        <v>7283.0</v>
      </c>
      <c r="V1025" s="2">
        <v>41.0</v>
      </c>
      <c r="W1025" s="2">
        <v>6209.0</v>
      </c>
    </row>
    <row r="1026" ht="15.0" customHeight="1">
      <c r="A1026" s="2">
        <v>2025.0</v>
      </c>
      <c r="B1026" s="2" t="s">
        <v>74</v>
      </c>
      <c r="C1026" s="2">
        <v>5.0</v>
      </c>
      <c r="D1026" s="2" t="s">
        <v>75</v>
      </c>
      <c r="E1026" s="2" t="s">
        <v>61</v>
      </c>
      <c r="F1026" s="2" t="s">
        <v>26</v>
      </c>
      <c r="G1026" s="2" t="s">
        <v>38</v>
      </c>
      <c r="H1026" s="2" t="s">
        <v>35</v>
      </c>
      <c r="I1026" s="2" t="s">
        <v>30</v>
      </c>
      <c r="J1026" s="2">
        <v>2412.0</v>
      </c>
      <c r="K1026" s="2">
        <v>941.0</v>
      </c>
      <c r="L1026" s="2">
        <v>606.0</v>
      </c>
      <c r="M1026" s="2">
        <v>590.0</v>
      </c>
      <c r="N1026" s="2">
        <v>400.0</v>
      </c>
      <c r="O1026" s="2">
        <v>611.0</v>
      </c>
      <c r="P1026" s="2">
        <v>490.0</v>
      </c>
      <c r="Q1026" s="2">
        <v>31.0</v>
      </c>
      <c r="R1026" s="2">
        <v>6803.0</v>
      </c>
      <c r="S1026" s="2">
        <v>4423.0</v>
      </c>
      <c r="T1026" s="2">
        <v>2379.0</v>
      </c>
      <c r="U1026" s="2">
        <v>4417.0</v>
      </c>
      <c r="V1026" s="2">
        <v>6.0</v>
      </c>
      <c r="W1026" s="2">
        <v>2385.0</v>
      </c>
    </row>
    <row r="1027" ht="15.0" customHeight="1">
      <c r="A1027" s="2">
        <v>2025.0</v>
      </c>
      <c r="B1027" s="2" t="s">
        <v>74</v>
      </c>
      <c r="C1027" s="2">
        <v>5.0</v>
      </c>
      <c r="D1027" s="2" t="s">
        <v>75</v>
      </c>
      <c r="E1027" s="2" t="s">
        <v>61</v>
      </c>
      <c r="F1027" s="2" t="s">
        <v>26</v>
      </c>
      <c r="G1027" s="2" t="s">
        <v>38</v>
      </c>
      <c r="H1027" s="2" t="s">
        <v>35</v>
      </c>
      <c r="I1027" s="2" t="s">
        <v>31</v>
      </c>
      <c r="J1027" s="2">
        <v>650.0</v>
      </c>
      <c r="K1027" s="2">
        <v>347.0</v>
      </c>
      <c r="L1027" s="2">
        <v>187.0</v>
      </c>
      <c r="M1027" s="2">
        <v>172.0</v>
      </c>
      <c r="N1027" s="2">
        <v>122.0</v>
      </c>
      <c r="O1027" s="2">
        <v>215.0</v>
      </c>
      <c r="P1027" s="2">
        <v>174.0</v>
      </c>
      <c r="Q1027" s="2">
        <v>7.0</v>
      </c>
      <c r="R1027" s="2">
        <v>2548.0</v>
      </c>
      <c r="S1027" s="2">
        <v>0.0</v>
      </c>
      <c r="T1027" s="2">
        <v>2548.0</v>
      </c>
      <c r="U1027" s="2">
        <v>0.0</v>
      </c>
      <c r="V1027" s="2">
        <v>0.0</v>
      </c>
      <c r="W1027" s="2">
        <v>2548.0</v>
      </c>
    </row>
    <row r="1028" ht="15.0" customHeight="1">
      <c r="A1028" s="2">
        <v>2025.0</v>
      </c>
      <c r="B1028" s="2" t="s">
        <v>74</v>
      </c>
      <c r="C1028" s="2">
        <v>5.0</v>
      </c>
      <c r="D1028" s="2" t="s">
        <v>75</v>
      </c>
      <c r="E1028" s="2" t="s">
        <v>61</v>
      </c>
      <c r="F1028" s="2" t="s">
        <v>26</v>
      </c>
      <c r="G1028" s="2" t="s">
        <v>39</v>
      </c>
      <c r="H1028" s="2" t="s">
        <v>40</v>
      </c>
      <c r="I1028" s="2" t="s">
        <v>29</v>
      </c>
      <c r="J1028" s="2">
        <v>10411.0</v>
      </c>
      <c r="K1028" s="2">
        <v>6506.0</v>
      </c>
      <c r="L1028" s="2">
        <v>3727.0</v>
      </c>
      <c r="M1028" s="2">
        <v>3503.0</v>
      </c>
      <c r="N1028" s="2">
        <v>1414.0</v>
      </c>
      <c r="O1028" s="2">
        <v>1694.0</v>
      </c>
      <c r="P1028" s="2">
        <v>1098.0</v>
      </c>
      <c r="Q1028" s="2">
        <v>0.0</v>
      </c>
      <c r="R1028" s="2">
        <v>16223.0</v>
      </c>
      <c r="S1028" s="2">
        <v>10871.0</v>
      </c>
      <c r="T1028" s="2">
        <v>5351.0</v>
      </c>
      <c r="U1028" s="2">
        <v>9976.0</v>
      </c>
      <c r="V1028" s="2">
        <v>895.0</v>
      </c>
      <c r="W1028" s="2">
        <v>6246.0</v>
      </c>
    </row>
    <row r="1029" ht="15.0" customHeight="1">
      <c r="A1029" s="2">
        <v>2025.0</v>
      </c>
      <c r="B1029" s="2" t="s">
        <v>74</v>
      </c>
      <c r="C1029" s="2">
        <v>5.0</v>
      </c>
      <c r="D1029" s="2" t="s">
        <v>75</v>
      </c>
      <c r="E1029" s="2" t="s">
        <v>61</v>
      </c>
      <c r="F1029" s="2" t="s">
        <v>26</v>
      </c>
      <c r="G1029" s="2" t="s">
        <v>39</v>
      </c>
      <c r="H1029" s="2" t="s">
        <v>40</v>
      </c>
      <c r="I1029" s="2" t="s">
        <v>30</v>
      </c>
      <c r="J1029" s="2">
        <v>2799.0</v>
      </c>
      <c r="K1029" s="2">
        <v>1282.0</v>
      </c>
      <c r="L1029" s="2">
        <v>553.0</v>
      </c>
      <c r="M1029" s="2">
        <v>519.0</v>
      </c>
      <c r="N1029" s="2">
        <v>196.0</v>
      </c>
      <c r="O1029" s="2">
        <v>229.0</v>
      </c>
      <c r="P1029" s="2">
        <v>158.0</v>
      </c>
      <c r="Q1029" s="2">
        <v>0.0</v>
      </c>
      <c r="R1029" s="2">
        <v>2346.0</v>
      </c>
      <c r="S1029" s="2">
        <v>3482.0</v>
      </c>
      <c r="T1029" s="2">
        <v>-1136.0</v>
      </c>
      <c r="U1029" s="2">
        <v>3474.0</v>
      </c>
      <c r="V1029" s="2">
        <v>8.0</v>
      </c>
      <c r="W1029" s="2">
        <v>-1128.0</v>
      </c>
    </row>
    <row r="1030" ht="15.0" customHeight="1">
      <c r="A1030" s="2">
        <v>2025.0</v>
      </c>
      <c r="B1030" s="2" t="s">
        <v>74</v>
      </c>
      <c r="C1030" s="2">
        <v>5.0</v>
      </c>
      <c r="D1030" s="2" t="s">
        <v>75</v>
      </c>
      <c r="E1030" s="2" t="s">
        <v>61</v>
      </c>
      <c r="F1030" s="2" t="s">
        <v>26</v>
      </c>
      <c r="G1030" s="2" t="s">
        <v>39</v>
      </c>
      <c r="H1030" s="2" t="s">
        <v>40</v>
      </c>
      <c r="I1030" s="2" t="s">
        <v>31</v>
      </c>
      <c r="J1030" s="2">
        <v>2902.0</v>
      </c>
      <c r="K1030" s="2">
        <v>1955.0</v>
      </c>
      <c r="L1030" s="2">
        <v>989.0</v>
      </c>
      <c r="M1030" s="2">
        <v>859.0</v>
      </c>
      <c r="N1030" s="2">
        <v>355.0</v>
      </c>
      <c r="O1030" s="2">
        <v>440.0</v>
      </c>
      <c r="P1030" s="2">
        <v>280.0</v>
      </c>
      <c r="Q1030" s="2">
        <v>0.0</v>
      </c>
      <c r="R1030" s="2">
        <v>4101.0</v>
      </c>
      <c r="S1030" s="2">
        <v>0.0</v>
      </c>
      <c r="T1030" s="2">
        <v>4101.0</v>
      </c>
      <c r="U1030" s="2">
        <v>0.0</v>
      </c>
      <c r="V1030" s="2">
        <v>0.0</v>
      </c>
      <c r="W1030" s="2">
        <v>4101.0</v>
      </c>
    </row>
    <row r="1031" ht="15.0" customHeight="1">
      <c r="A1031" s="2">
        <v>2025.0</v>
      </c>
      <c r="B1031" s="2" t="s">
        <v>74</v>
      </c>
      <c r="C1031" s="2">
        <v>5.0</v>
      </c>
      <c r="D1031" s="2" t="s">
        <v>75</v>
      </c>
      <c r="E1031" s="2" t="s">
        <v>61</v>
      </c>
      <c r="F1031" s="2" t="s">
        <v>26</v>
      </c>
      <c r="G1031" s="2" t="s">
        <v>41</v>
      </c>
      <c r="H1031" s="2" t="s">
        <v>42</v>
      </c>
      <c r="I1031" s="2" t="s">
        <v>29</v>
      </c>
      <c r="J1031" s="2">
        <v>23192.0</v>
      </c>
      <c r="K1031" s="2">
        <v>13358.0</v>
      </c>
      <c r="L1031" s="2">
        <v>6870.0</v>
      </c>
      <c r="M1031" s="2">
        <v>6459.0</v>
      </c>
      <c r="N1031" s="2">
        <v>3978.0</v>
      </c>
      <c r="O1031" s="2">
        <v>5052.0</v>
      </c>
      <c r="P1031" s="2">
        <v>4063.0</v>
      </c>
      <c r="Q1031" s="2">
        <v>7.0</v>
      </c>
      <c r="R1031" s="2">
        <v>33357.0</v>
      </c>
      <c r="S1031" s="2">
        <v>20429.0</v>
      </c>
      <c r="T1031" s="2">
        <v>12929.0</v>
      </c>
      <c r="U1031" s="2">
        <v>19611.0</v>
      </c>
      <c r="V1031" s="2">
        <v>817.0</v>
      </c>
      <c r="W1031" s="2">
        <v>13746.0</v>
      </c>
    </row>
    <row r="1032" ht="15.0" customHeight="1">
      <c r="A1032" s="2">
        <v>2025.0</v>
      </c>
      <c r="B1032" s="2" t="s">
        <v>74</v>
      </c>
      <c r="C1032" s="2">
        <v>5.0</v>
      </c>
      <c r="D1032" s="2" t="s">
        <v>75</v>
      </c>
      <c r="E1032" s="2" t="s">
        <v>61</v>
      </c>
      <c r="F1032" s="2" t="s">
        <v>26</v>
      </c>
      <c r="G1032" s="2" t="s">
        <v>41</v>
      </c>
      <c r="H1032" s="2" t="s">
        <v>42</v>
      </c>
      <c r="I1032" s="2" t="s">
        <v>30</v>
      </c>
      <c r="J1032" s="2">
        <v>9344.0</v>
      </c>
      <c r="K1032" s="2">
        <v>4275.0</v>
      </c>
      <c r="L1032" s="2">
        <v>2415.0</v>
      </c>
      <c r="M1032" s="2">
        <v>2279.0</v>
      </c>
      <c r="N1032" s="2">
        <v>1335.0</v>
      </c>
      <c r="O1032" s="2">
        <v>1639.0</v>
      </c>
      <c r="P1032" s="2">
        <v>1330.0</v>
      </c>
      <c r="Q1032" s="2">
        <v>3.0</v>
      </c>
      <c r="R1032" s="2">
        <v>10355.0</v>
      </c>
      <c r="S1032" s="2">
        <v>7291.0</v>
      </c>
      <c r="T1032" s="2">
        <v>3064.0</v>
      </c>
      <c r="U1032" s="2">
        <v>7280.0</v>
      </c>
      <c r="V1032" s="2">
        <v>11.0</v>
      </c>
      <c r="W1032" s="2">
        <v>3075.0</v>
      </c>
    </row>
    <row r="1033" ht="15.0" customHeight="1">
      <c r="A1033" s="2">
        <v>2025.0</v>
      </c>
      <c r="B1033" s="2" t="s">
        <v>74</v>
      </c>
      <c r="C1033" s="2">
        <v>5.0</v>
      </c>
      <c r="D1033" s="2" t="s">
        <v>75</v>
      </c>
      <c r="E1033" s="2" t="s">
        <v>61</v>
      </c>
      <c r="F1033" s="2" t="s">
        <v>26</v>
      </c>
      <c r="G1033" s="2" t="s">
        <v>41</v>
      </c>
      <c r="H1033" s="2" t="s">
        <v>42</v>
      </c>
      <c r="I1033" s="2" t="s">
        <v>31</v>
      </c>
      <c r="J1033" s="2">
        <v>11436.0</v>
      </c>
      <c r="K1033" s="2">
        <v>6887.0</v>
      </c>
      <c r="L1033" s="2">
        <v>5023.0</v>
      </c>
      <c r="M1033" s="2">
        <v>4471.0</v>
      </c>
      <c r="N1033" s="2">
        <v>2519.0</v>
      </c>
      <c r="O1033" s="2">
        <v>3225.0</v>
      </c>
      <c r="P1033" s="2">
        <v>2576.0</v>
      </c>
      <c r="Q1033" s="2">
        <v>6.0</v>
      </c>
      <c r="R1033" s="2">
        <v>20629.0</v>
      </c>
      <c r="S1033" s="2">
        <v>292.0</v>
      </c>
      <c r="T1033" s="2">
        <v>20337.0</v>
      </c>
      <c r="U1033" s="2">
        <v>292.0</v>
      </c>
      <c r="V1033" s="2">
        <v>0.0</v>
      </c>
      <c r="W1033" s="2">
        <v>20337.0</v>
      </c>
    </row>
    <row r="1034" ht="15.0" customHeight="1">
      <c r="A1034" s="2">
        <v>2025.0</v>
      </c>
      <c r="B1034" s="2" t="s">
        <v>74</v>
      </c>
      <c r="C1034" s="2">
        <v>5.0</v>
      </c>
      <c r="D1034" s="2" t="s">
        <v>75</v>
      </c>
      <c r="E1034" s="2" t="s">
        <v>61</v>
      </c>
      <c r="F1034" s="2" t="s">
        <v>26</v>
      </c>
      <c r="G1034" s="2" t="s">
        <v>43</v>
      </c>
      <c r="H1034" s="2" t="s">
        <v>42</v>
      </c>
      <c r="I1034" s="2" t="s">
        <v>29</v>
      </c>
      <c r="J1034" s="2">
        <v>3369.0</v>
      </c>
      <c r="K1034" s="2">
        <v>1518.0</v>
      </c>
      <c r="L1034" s="2">
        <v>789.0</v>
      </c>
      <c r="M1034" s="2">
        <v>732.0</v>
      </c>
      <c r="N1034" s="2">
        <v>285.0</v>
      </c>
      <c r="O1034" s="2">
        <v>576.0</v>
      </c>
      <c r="P1034" s="2">
        <v>432.0</v>
      </c>
      <c r="Q1034" s="2">
        <v>0.0</v>
      </c>
      <c r="R1034" s="2">
        <v>14392.0</v>
      </c>
      <c r="S1034" s="2">
        <v>9898.0</v>
      </c>
      <c r="T1034" s="2">
        <v>4494.0</v>
      </c>
      <c r="U1034" s="2">
        <v>8962.0</v>
      </c>
      <c r="V1034" s="2">
        <v>936.0</v>
      </c>
      <c r="W1034" s="2">
        <v>5430.0</v>
      </c>
    </row>
    <row r="1035" ht="15.0" customHeight="1">
      <c r="A1035" s="2">
        <v>2025.0</v>
      </c>
      <c r="B1035" s="2" t="s">
        <v>74</v>
      </c>
      <c r="C1035" s="2">
        <v>5.0</v>
      </c>
      <c r="D1035" s="2" t="s">
        <v>75</v>
      </c>
      <c r="E1035" s="2" t="s">
        <v>61</v>
      </c>
      <c r="F1035" s="2" t="s">
        <v>26</v>
      </c>
      <c r="G1035" s="2" t="s">
        <v>43</v>
      </c>
      <c r="H1035" s="2" t="s">
        <v>42</v>
      </c>
      <c r="I1035" s="2" t="s">
        <v>30</v>
      </c>
      <c r="J1035" s="2">
        <v>637.0</v>
      </c>
      <c r="K1035" s="2">
        <v>212.0</v>
      </c>
      <c r="L1035" s="2">
        <v>106.0</v>
      </c>
      <c r="M1035" s="2">
        <v>97.0</v>
      </c>
      <c r="N1035" s="2">
        <v>28.0</v>
      </c>
      <c r="O1035" s="2">
        <v>80.0</v>
      </c>
      <c r="P1035" s="2">
        <v>66.0</v>
      </c>
      <c r="Q1035" s="2">
        <v>2.0</v>
      </c>
      <c r="R1035" s="2">
        <v>2105.0</v>
      </c>
      <c r="S1035" s="2">
        <v>1915.0</v>
      </c>
      <c r="T1035" s="2">
        <v>190.0</v>
      </c>
      <c r="U1035" s="2">
        <v>1915.0</v>
      </c>
      <c r="V1035" s="2">
        <v>0.0</v>
      </c>
      <c r="W1035" s="2">
        <v>190.0</v>
      </c>
    </row>
    <row r="1036" ht="15.0" customHeight="1">
      <c r="A1036" s="2">
        <v>2025.0</v>
      </c>
      <c r="B1036" s="2" t="s">
        <v>74</v>
      </c>
      <c r="C1036" s="2">
        <v>5.0</v>
      </c>
      <c r="D1036" s="2" t="s">
        <v>75</v>
      </c>
      <c r="E1036" s="2" t="s">
        <v>61</v>
      </c>
      <c r="F1036" s="2" t="s">
        <v>26</v>
      </c>
      <c r="G1036" s="2" t="s">
        <v>43</v>
      </c>
      <c r="H1036" s="2" t="s">
        <v>42</v>
      </c>
      <c r="I1036" s="2" t="s">
        <v>31</v>
      </c>
      <c r="J1036" s="2">
        <v>279.0</v>
      </c>
      <c r="K1036" s="2">
        <v>199.0</v>
      </c>
      <c r="L1036" s="2">
        <v>107.0</v>
      </c>
      <c r="M1036" s="2">
        <v>92.0</v>
      </c>
      <c r="N1036" s="2">
        <v>31.0</v>
      </c>
      <c r="O1036" s="2">
        <v>88.0</v>
      </c>
      <c r="P1036" s="2">
        <v>69.0</v>
      </c>
      <c r="Q1036" s="2">
        <v>0.0</v>
      </c>
      <c r="R1036" s="2">
        <v>2394.0</v>
      </c>
      <c r="S1036" s="2">
        <v>0.0</v>
      </c>
      <c r="T1036" s="2">
        <v>2394.0</v>
      </c>
      <c r="U1036" s="2">
        <v>0.0</v>
      </c>
      <c r="V1036" s="2">
        <v>0.0</v>
      </c>
      <c r="W1036" s="2">
        <v>2394.0</v>
      </c>
    </row>
    <row r="1037" ht="15.0" customHeight="1">
      <c r="A1037" s="2">
        <v>2025.0</v>
      </c>
      <c r="B1037" s="2" t="s">
        <v>74</v>
      </c>
      <c r="C1037" s="2">
        <v>5.0</v>
      </c>
      <c r="D1037" s="2" t="s">
        <v>75</v>
      </c>
      <c r="E1037" s="2" t="s">
        <v>61</v>
      </c>
      <c r="F1037" s="2" t="s">
        <v>26</v>
      </c>
      <c r="G1037" s="2" t="s">
        <v>44</v>
      </c>
      <c r="H1037" s="2" t="s">
        <v>45</v>
      </c>
      <c r="I1037" s="2" t="s">
        <v>29</v>
      </c>
      <c r="J1037" s="2">
        <v>5735.0</v>
      </c>
      <c r="K1037" s="2">
        <v>2970.0</v>
      </c>
      <c r="L1037" s="2">
        <v>980.0</v>
      </c>
      <c r="M1037" s="2">
        <v>930.0</v>
      </c>
      <c r="N1037" s="2">
        <v>827.0</v>
      </c>
      <c r="O1037" s="2">
        <v>1452.0</v>
      </c>
      <c r="P1037" s="2">
        <v>1165.0</v>
      </c>
      <c r="Q1037" s="2">
        <v>556.0</v>
      </c>
      <c r="R1037" s="2">
        <v>39449.0</v>
      </c>
      <c r="S1037" s="2">
        <v>33758.0</v>
      </c>
      <c r="T1037" s="2">
        <v>5691.0</v>
      </c>
      <c r="U1037" s="2">
        <v>31292.0</v>
      </c>
      <c r="V1037" s="2">
        <v>2466.0</v>
      </c>
      <c r="W1037" s="2">
        <v>8157.0</v>
      </c>
    </row>
    <row r="1038" ht="15.0" customHeight="1">
      <c r="A1038" s="2">
        <v>2025.0</v>
      </c>
      <c r="B1038" s="2" t="s">
        <v>74</v>
      </c>
      <c r="C1038" s="2">
        <v>5.0</v>
      </c>
      <c r="D1038" s="2" t="s">
        <v>75</v>
      </c>
      <c r="E1038" s="2" t="s">
        <v>61</v>
      </c>
      <c r="F1038" s="2" t="s">
        <v>26</v>
      </c>
      <c r="G1038" s="2" t="s">
        <v>44</v>
      </c>
      <c r="H1038" s="2" t="s">
        <v>45</v>
      </c>
      <c r="I1038" s="2" t="s">
        <v>30</v>
      </c>
      <c r="J1038" s="2">
        <v>2703.0</v>
      </c>
      <c r="K1038" s="2">
        <v>1165.0</v>
      </c>
      <c r="L1038" s="2">
        <v>381.0</v>
      </c>
      <c r="M1038" s="2">
        <v>358.0</v>
      </c>
      <c r="N1038" s="2">
        <v>277.0</v>
      </c>
      <c r="O1038" s="2">
        <v>479.0</v>
      </c>
      <c r="P1038" s="2">
        <v>381.0</v>
      </c>
      <c r="Q1038" s="2">
        <v>178.0</v>
      </c>
      <c r="R1038" s="2">
        <v>11971.0</v>
      </c>
      <c r="S1038" s="2">
        <v>8106.0</v>
      </c>
      <c r="T1038" s="2">
        <v>3864.0</v>
      </c>
      <c r="U1038" s="2">
        <v>8102.0</v>
      </c>
      <c r="V1038" s="2">
        <v>4.0</v>
      </c>
      <c r="W1038" s="2">
        <v>3869.0</v>
      </c>
    </row>
    <row r="1039" ht="15.0" customHeight="1">
      <c r="A1039" s="2">
        <v>2025.0</v>
      </c>
      <c r="B1039" s="2" t="s">
        <v>74</v>
      </c>
      <c r="C1039" s="2">
        <v>5.0</v>
      </c>
      <c r="D1039" s="2" t="s">
        <v>75</v>
      </c>
      <c r="E1039" s="2" t="s">
        <v>61</v>
      </c>
      <c r="F1039" s="2" t="s">
        <v>26</v>
      </c>
      <c r="G1039" s="2" t="s">
        <v>44</v>
      </c>
      <c r="H1039" s="2" t="s">
        <v>45</v>
      </c>
      <c r="I1039" s="2" t="s">
        <v>31</v>
      </c>
      <c r="J1039" s="2">
        <v>970.0</v>
      </c>
      <c r="K1039" s="2">
        <v>513.0</v>
      </c>
      <c r="L1039" s="2">
        <v>155.0</v>
      </c>
      <c r="M1039" s="2">
        <v>133.0</v>
      </c>
      <c r="N1039" s="2">
        <v>109.0</v>
      </c>
      <c r="O1039" s="2">
        <v>215.0</v>
      </c>
      <c r="P1039" s="2">
        <v>184.0</v>
      </c>
      <c r="Q1039" s="2">
        <v>87.0</v>
      </c>
      <c r="R1039" s="2">
        <v>6331.0</v>
      </c>
      <c r="S1039" s="2">
        <v>30.0</v>
      </c>
      <c r="T1039" s="2">
        <v>6301.0</v>
      </c>
      <c r="U1039" s="2">
        <v>30.0</v>
      </c>
      <c r="V1039" s="2">
        <v>0.0</v>
      </c>
      <c r="W1039" s="2">
        <v>6301.0</v>
      </c>
    </row>
    <row r="1040" ht="15.0" customHeight="1">
      <c r="A1040" s="2">
        <v>2025.0</v>
      </c>
      <c r="B1040" s="2" t="s">
        <v>74</v>
      </c>
      <c r="C1040" s="2">
        <v>5.0</v>
      </c>
      <c r="D1040" s="2" t="s">
        <v>75</v>
      </c>
      <c r="E1040" s="2" t="s">
        <v>61</v>
      </c>
      <c r="F1040" s="2" t="s">
        <v>26</v>
      </c>
      <c r="G1040" s="2" t="s">
        <v>46</v>
      </c>
      <c r="H1040" s="2" t="s">
        <v>47</v>
      </c>
      <c r="I1040" s="2" t="s">
        <v>29</v>
      </c>
      <c r="J1040" s="2">
        <v>4160.0</v>
      </c>
      <c r="K1040" s="2">
        <v>1930.0</v>
      </c>
      <c r="L1040" s="2">
        <v>817.0</v>
      </c>
      <c r="M1040" s="2">
        <v>785.0</v>
      </c>
      <c r="N1040" s="2">
        <v>742.0</v>
      </c>
      <c r="O1040" s="2">
        <v>1529.0</v>
      </c>
      <c r="P1040" s="2">
        <v>978.0</v>
      </c>
      <c r="Q1040" s="2">
        <v>137.0</v>
      </c>
      <c r="R1040" s="2">
        <v>33048.0</v>
      </c>
      <c r="S1040" s="2">
        <v>21886.0</v>
      </c>
      <c r="T1040" s="2">
        <v>11162.0</v>
      </c>
      <c r="U1040" s="2">
        <v>21107.0</v>
      </c>
      <c r="V1040" s="2">
        <v>780.0</v>
      </c>
      <c r="W1040" s="2">
        <v>11941.0</v>
      </c>
    </row>
    <row r="1041" ht="15.0" customHeight="1">
      <c r="A1041" s="2">
        <v>2025.0</v>
      </c>
      <c r="B1041" s="2" t="s">
        <v>74</v>
      </c>
      <c r="C1041" s="2">
        <v>5.0</v>
      </c>
      <c r="D1041" s="2" t="s">
        <v>75</v>
      </c>
      <c r="E1041" s="2" t="s">
        <v>61</v>
      </c>
      <c r="F1041" s="2" t="s">
        <v>26</v>
      </c>
      <c r="G1041" s="2" t="s">
        <v>46</v>
      </c>
      <c r="H1041" s="2" t="s">
        <v>47</v>
      </c>
      <c r="I1041" s="2" t="s">
        <v>30</v>
      </c>
      <c r="J1041" s="2">
        <v>1571.0</v>
      </c>
      <c r="K1041" s="2">
        <v>408.0</v>
      </c>
      <c r="L1041" s="2">
        <v>145.0</v>
      </c>
      <c r="M1041" s="2">
        <v>133.0</v>
      </c>
      <c r="N1041" s="2">
        <v>120.0</v>
      </c>
      <c r="O1041" s="2">
        <v>250.0</v>
      </c>
      <c r="P1041" s="2">
        <v>161.0</v>
      </c>
      <c r="Q1041" s="2">
        <v>29.0</v>
      </c>
      <c r="R1041" s="2">
        <v>5951.0</v>
      </c>
      <c r="S1041" s="2">
        <v>4449.0</v>
      </c>
      <c r="T1041" s="2">
        <v>1503.0</v>
      </c>
      <c r="U1041" s="2">
        <v>4449.0</v>
      </c>
      <c r="V1041" s="2">
        <v>0.0</v>
      </c>
      <c r="W1041" s="2">
        <v>1503.0</v>
      </c>
    </row>
    <row r="1042" ht="15.0" customHeight="1">
      <c r="A1042" s="2">
        <v>2025.0</v>
      </c>
      <c r="B1042" s="2" t="s">
        <v>74</v>
      </c>
      <c r="C1042" s="2">
        <v>5.0</v>
      </c>
      <c r="D1042" s="2" t="s">
        <v>75</v>
      </c>
      <c r="E1042" s="2" t="s">
        <v>61</v>
      </c>
      <c r="F1042" s="2" t="s">
        <v>26</v>
      </c>
      <c r="G1042" s="2" t="s">
        <v>46</v>
      </c>
      <c r="H1042" s="2" t="s">
        <v>47</v>
      </c>
      <c r="I1042" s="2" t="s">
        <v>31</v>
      </c>
      <c r="J1042" s="2">
        <v>1446.0</v>
      </c>
      <c r="K1042" s="2">
        <v>713.0</v>
      </c>
      <c r="L1042" s="2">
        <v>193.0</v>
      </c>
      <c r="M1042" s="2">
        <v>131.0</v>
      </c>
      <c r="N1042" s="2">
        <v>121.0</v>
      </c>
      <c r="O1042" s="2">
        <v>252.0</v>
      </c>
      <c r="P1042" s="2">
        <v>146.0</v>
      </c>
      <c r="Q1042" s="2">
        <v>20.0</v>
      </c>
      <c r="R1042" s="2">
        <v>5392.0</v>
      </c>
      <c r="S1042" s="2">
        <v>330.0</v>
      </c>
      <c r="T1042" s="2">
        <v>5062.0</v>
      </c>
      <c r="U1042" s="2">
        <v>330.0</v>
      </c>
      <c r="V1042" s="2">
        <v>0.0</v>
      </c>
      <c r="W1042" s="2">
        <v>5062.0</v>
      </c>
    </row>
    <row r="1043" ht="15.0" customHeight="1">
      <c r="A1043" s="2">
        <v>2025.0</v>
      </c>
      <c r="B1043" s="2" t="s">
        <v>74</v>
      </c>
      <c r="C1043" s="2">
        <v>5.0</v>
      </c>
      <c r="D1043" s="2" t="s">
        <v>75</v>
      </c>
      <c r="E1043" s="2" t="s">
        <v>61</v>
      </c>
      <c r="F1043" s="2" t="s">
        <v>48</v>
      </c>
      <c r="G1043" s="2" t="s">
        <v>27</v>
      </c>
      <c r="H1043" s="2" t="s">
        <v>28</v>
      </c>
      <c r="I1043" s="2" t="s">
        <v>29</v>
      </c>
      <c r="J1043" s="2">
        <v>5198.0</v>
      </c>
      <c r="K1043" s="2">
        <v>2706.0</v>
      </c>
      <c r="L1043" s="2">
        <v>1082.0</v>
      </c>
      <c r="M1043" s="2">
        <v>1032.0</v>
      </c>
      <c r="N1043" s="2">
        <v>658.0</v>
      </c>
      <c r="O1043" s="2">
        <v>1026.0</v>
      </c>
      <c r="P1043" s="2">
        <v>818.0</v>
      </c>
      <c r="Q1043" s="2">
        <v>0.0</v>
      </c>
      <c r="R1043" s="2">
        <v>24617.0</v>
      </c>
      <c r="S1043" s="2">
        <v>17188.0</v>
      </c>
      <c r="T1043" s="2">
        <v>7428.0</v>
      </c>
      <c r="U1043" s="2">
        <v>16275.0</v>
      </c>
      <c r="V1043" s="2">
        <v>913.0</v>
      </c>
      <c r="W1043" s="2">
        <v>8342.0</v>
      </c>
    </row>
    <row r="1044" ht="15.0" customHeight="1">
      <c r="A1044" s="2">
        <v>2025.0</v>
      </c>
      <c r="B1044" s="2" t="s">
        <v>74</v>
      </c>
      <c r="C1044" s="2">
        <v>5.0</v>
      </c>
      <c r="D1044" s="2" t="s">
        <v>75</v>
      </c>
      <c r="E1044" s="2" t="s">
        <v>61</v>
      </c>
      <c r="F1044" s="2" t="s">
        <v>48</v>
      </c>
      <c r="G1044" s="2" t="s">
        <v>27</v>
      </c>
      <c r="H1044" s="2" t="s">
        <v>28</v>
      </c>
      <c r="I1044" s="2" t="s">
        <v>30</v>
      </c>
      <c r="J1044" s="2">
        <v>2938.0</v>
      </c>
      <c r="K1044" s="2">
        <v>963.0</v>
      </c>
      <c r="L1044" s="2">
        <v>328.0</v>
      </c>
      <c r="M1044" s="2">
        <v>311.0</v>
      </c>
      <c r="N1044" s="2">
        <v>194.0</v>
      </c>
      <c r="O1044" s="2">
        <v>303.0</v>
      </c>
      <c r="P1044" s="2">
        <v>249.0</v>
      </c>
      <c r="Q1044" s="2">
        <v>0.0</v>
      </c>
      <c r="R1044" s="2">
        <v>7349.0</v>
      </c>
      <c r="S1044" s="2">
        <v>5162.0</v>
      </c>
      <c r="T1044" s="2">
        <v>2187.0</v>
      </c>
      <c r="U1044" s="2">
        <v>5162.0</v>
      </c>
      <c r="V1044" s="2">
        <v>0.0</v>
      </c>
      <c r="W1044" s="2">
        <v>2187.0</v>
      </c>
    </row>
    <row r="1045" ht="15.0" customHeight="1">
      <c r="A1045" s="2">
        <v>2025.0</v>
      </c>
      <c r="B1045" s="2" t="s">
        <v>74</v>
      </c>
      <c r="C1045" s="2">
        <v>5.0</v>
      </c>
      <c r="D1045" s="2" t="s">
        <v>75</v>
      </c>
      <c r="E1045" s="2" t="s">
        <v>61</v>
      </c>
      <c r="F1045" s="2" t="s">
        <v>48</v>
      </c>
      <c r="G1045" s="2" t="s">
        <v>27</v>
      </c>
      <c r="H1045" s="2" t="s">
        <v>28</v>
      </c>
      <c r="I1045" s="2" t="s">
        <v>31</v>
      </c>
      <c r="J1045" s="2">
        <v>175.0</v>
      </c>
      <c r="K1045" s="2">
        <v>115.0</v>
      </c>
      <c r="L1045" s="2">
        <v>158.0</v>
      </c>
      <c r="M1045" s="2">
        <v>133.0</v>
      </c>
      <c r="N1045" s="2">
        <v>64.0</v>
      </c>
      <c r="O1045" s="2">
        <v>103.0</v>
      </c>
      <c r="P1045" s="2">
        <v>76.0</v>
      </c>
      <c r="Q1045" s="2">
        <v>0.0</v>
      </c>
      <c r="R1045" s="2">
        <v>2247.0</v>
      </c>
      <c r="S1045" s="2">
        <v>562.0</v>
      </c>
      <c r="T1045" s="2">
        <v>1685.0</v>
      </c>
      <c r="U1045" s="2">
        <v>562.0</v>
      </c>
      <c r="V1045" s="2">
        <v>0.0</v>
      </c>
      <c r="W1045" s="2">
        <v>1685.0</v>
      </c>
    </row>
    <row r="1046" ht="15.0" customHeight="1">
      <c r="A1046" s="2">
        <v>2025.0</v>
      </c>
      <c r="B1046" s="2" t="s">
        <v>74</v>
      </c>
      <c r="C1046" s="2">
        <v>5.0</v>
      </c>
      <c r="D1046" s="2" t="s">
        <v>75</v>
      </c>
      <c r="E1046" s="2" t="s">
        <v>61</v>
      </c>
      <c r="F1046" s="2" t="s">
        <v>48</v>
      </c>
      <c r="G1046" s="2" t="s">
        <v>32</v>
      </c>
      <c r="H1046" s="2" t="s">
        <v>28</v>
      </c>
      <c r="I1046" s="2" t="s">
        <v>29</v>
      </c>
      <c r="J1046" s="2">
        <v>1221.0</v>
      </c>
      <c r="K1046" s="2">
        <v>674.0</v>
      </c>
      <c r="L1046" s="2">
        <v>353.0</v>
      </c>
      <c r="M1046" s="2">
        <v>327.0</v>
      </c>
      <c r="N1046" s="2">
        <v>102.0</v>
      </c>
      <c r="O1046" s="2">
        <v>131.0</v>
      </c>
      <c r="P1046" s="2">
        <v>109.0</v>
      </c>
      <c r="Q1046" s="2">
        <v>0.0</v>
      </c>
      <c r="R1046" s="2">
        <v>1697.0</v>
      </c>
      <c r="S1046" s="2">
        <v>1236.0</v>
      </c>
      <c r="T1046" s="2">
        <v>461.0</v>
      </c>
      <c r="U1046" s="2">
        <v>1236.0</v>
      </c>
      <c r="V1046" s="2">
        <v>0.0</v>
      </c>
      <c r="W1046" s="2">
        <v>461.0</v>
      </c>
    </row>
    <row r="1047" ht="15.0" customHeight="1">
      <c r="A1047" s="2">
        <v>2025.0</v>
      </c>
      <c r="B1047" s="2" t="s">
        <v>74</v>
      </c>
      <c r="C1047" s="2">
        <v>5.0</v>
      </c>
      <c r="D1047" s="2" t="s">
        <v>75</v>
      </c>
      <c r="E1047" s="2" t="s">
        <v>61</v>
      </c>
      <c r="F1047" s="2" t="s">
        <v>48</v>
      </c>
      <c r="G1047" s="2" t="s">
        <v>32</v>
      </c>
      <c r="H1047" s="2" t="s">
        <v>28</v>
      </c>
      <c r="I1047" s="2" t="s">
        <v>30</v>
      </c>
      <c r="J1047" s="2">
        <v>1045.0</v>
      </c>
      <c r="K1047" s="2">
        <v>363.0</v>
      </c>
      <c r="L1047" s="2">
        <v>203.0</v>
      </c>
      <c r="M1047" s="2">
        <v>191.0</v>
      </c>
      <c r="N1047" s="2">
        <v>49.0</v>
      </c>
      <c r="O1047" s="2">
        <v>62.0</v>
      </c>
      <c r="P1047" s="2">
        <v>52.0</v>
      </c>
      <c r="Q1047" s="2">
        <v>0.0</v>
      </c>
      <c r="R1047" s="2">
        <v>719.0</v>
      </c>
      <c r="S1047" s="2">
        <v>935.0</v>
      </c>
      <c r="T1047" s="2">
        <v>-216.0</v>
      </c>
      <c r="U1047" s="2">
        <v>935.0</v>
      </c>
      <c r="V1047" s="2">
        <v>0.0</v>
      </c>
      <c r="W1047" s="2">
        <v>-216.0</v>
      </c>
    </row>
    <row r="1048" ht="15.0" customHeight="1">
      <c r="A1048" s="2">
        <v>2025.0</v>
      </c>
      <c r="B1048" s="2" t="s">
        <v>74</v>
      </c>
      <c r="C1048" s="2">
        <v>5.0</v>
      </c>
      <c r="D1048" s="2" t="s">
        <v>75</v>
      </c>
      <c r="E1048" s="2" t="s">
        <v>61</v>
      </c>
      <c r="F1048" s="2" t="s">
        <v>48</v>
      </c>
      <c r="G1048" s="2" t="s">
        <v>32</v>
      </c>
      <c r="H1048" s="2" t="s">
        <v>28</v>
      </c>
      <c r="I1048" s="2" t="s">
        <v>31</v>
      </c>
      <c r="J1048" s="2">
        <v>1602.0</v>
      </c>
      <c r="K1048" s="2">
        <v>911.0</v>
      </c>
      <c r="L1048" s="2">
        <v>500.0</v>
      </c>
      <c r="M1048" s="2">
        <v>458.0</v>
      </c>
      <c r="N1048" s="2">
        <v>106.0</v>
      </c>
      <c r="O1048" s="2">
        <v>131.0</v>
      </c>
      <c r="P1048" s="2">
        <v>107.0</v>
      </c>
      <c r="Q1048" s="2">
        <v>0.0</v>
      </c>
      <c r="R1048" s="2">
        <v>1585.0</v>
      </c>
      <c r="S1048" s="2">
        <v>5.0</v>
      </c>
      <c r="T1048" s="2">
        <v>1580.0</v>
      </c>
      <c r="U1048" s="2">
        <v>5.0</v>
      </c>
      <c r="V1048" s="2">
        <v>0.0</v>
      </c>
      <c r="W1048" s="2">
        <v>1580.0</v>
      </c>
    </row>
    <row r="1049" ht="15.0" customHeight="1">
      <c r="A1049" s="2">
        <v>2025.0</v>
      </c>
      <c r="B1049" s="2" t="s">
        <v>74</v>
      </c>
      <c r="C1049" s="2">
        <v>5.0</v>
      </c>
      <c r="D1049" s="2" t="s">
        <v>75</v>
      </c>
      <c r="E1049" s="2" t="s">
        <v>61</v>
      </c>
      <c r="F1049" s="2" t="s">
        <v>48</v>
      </c>
      <c r="G1049" s="2" t="s">
        <v>33</v>
      </c>
      <c r="H1049" s="2" t="s">
        <v>28</v>
      </c>
      <c r="I1049" s="2" t="s">
        <v>29</v>
      </c>
      <c r="J1049" s="2">
        <v>2311.0</v>
      </c>
      <c r="K1049" s="2">
        <v>1183.0</v>
      </c>
      <c r="L1049" s="2">
        <v>534.0</v>
      </c>
      <c r="M1049" s="2">
        <v>514.0</v>
      </c>
      <c r="N1049" s="2">
        <v>298.0</v>
      </c>
      <c r="O1049" s="2">
        <v>377.0</v>
      </c>
      <c r="P1049" s="2">
        <v>349.0</v>
      </c>
      <c r="Q1049" s="2">
        <v>192.0</v>
      </c>
      <c r="R1049" s="2">
        <v>11368.0</v>
      </c>
      <c r="S1049" s="2">
        <v>9769.0</v>
      </c>
      <c r="T1049" s="2">
        <v>1600.0</v>
      </c>
      <c r="U1049" s="2">
        <v>9707.0</v>
      </c>
      <c r="V1049" s="2">
        <v>61.0</v>
      </c>
      <c r="W1049" s="2">
        <v>1661.0</v>
      </c>
    </row>
    <row r="1050" ht="15.0" customHeight="1">
      <c r="A1050" s="2">
        <v>2025.0</v>
      </c>
      <c r="B1050" s="2" t="s">
        <v>74</v>
      </c>
      <c r="C1050" s="2">
        <v>5.0</v>
      </c>
      <c r="D1050" s="2" t="s">
        <v>75</v>
      </c>
      <c r="E1050" s="2" t="s">
        <v>61</v>
      </c>
      <c r="F1050" s="2" t="s">
        <v>48</v>
      </c>
      <c r="G1050" s="2" t="s">
        <v>33</v>
      </c>
      <c r="H1050" s="2" t="s">
        <v>28</v>
      </c>
      <c r="I1050" s="2" t="s">
        <v>30</v>
      </c>
      <c r="J1050" s="2">
        <v>1487.0</v>
      </c>
      <c r="K1050" s="2">
        <v>458.0</v>
      </c>
      <c r="L1050" s="2">
        <v>147.0</v>
      </c>
      <c r="M1050" s="2">
        <v>140.0</v>
      </c>
      <c r="N1050" s="2">
        <v>56.0</v>
      </c>
      <c r="O1050" s="2">
        <v>66.0</v>
      </c>
      <c r="P1050" s="2">
        <v>62.0</v>
      </c>
      <c r="Q1050" s="2">
        <v>37.0</v>
      </c>
      <c r="R1050" s="2">
        <v>2204.0</v>
      </c>
      <c r="S1050" s="2">
        <v>2875.0</v>
      </c>
      <c r="T1050" s="2">
        <v>-671.0</v>
      </c>
      <c r="U1050" s="2">
        <v>2875.0</v>
      </c>
      <c r="V1050" s="2">
        <v>0.0</v>
      </c>
      <c r="W1050" s="2">
        <v>-671.0</v>
      </c>
    </row>
    <row r="1051" ht="15.0" customHeight="1">
      <c r="A1051" s="2">
        <v>2025.0</v>
      </c>
      <c r="B1051" s="2" t="s">
        <v>74</v>
      </c>
      <c r="C1051" s="2">
        <v>5.0</v>
      </c>
      <c r="D1051" s="2" t="s">
        <v>75</v>
      </c>
      <c r="E1051" s="2" t="s">
        <v>61</v>
      </c>
      <c r="F1051" s="2" t="s">
        <v>48</v>
      </c>
      <c r="G1051" s="2" t="s">
        <v>33</v>
      </c>
      <c r="H1051" s="2" t="s">
        <v>28</v>
      </c>
      <c r="I1051" s="2" t="s">
        <v>31</v>
      </c>
      <c r="J1051" s="2">
        <v>98.0</v>
      </c>
      <c r="K1051" s="2">
        <v>29.0</v>
      </c>
      <c r="L1051" s="2">
        <v>7.0</v>
      </c>
      <c r="M1051" s="2">
        <v>6.0</v>
      </c>
      <c r="N1051" s="2">
        <v>4.0</v>
      </c>
      <c r="O1051" s="2">
        <v>5.0</v>
      </c>
      <c r="P1051" s="2">
        <v>5.0</v>
      </c>
      <c r="Q1051" s="2">
        <v>3.0</v>
      </c>
      <c r="R1051" s="2">
        <v>166.0</v>
      </c>
      <c r="S1051" s="2">
        <v>0.0</v>
      </c>
      <c r="T1051" s="2">
        <v>166.0</v>
      </c>
      <c r="U1051" s="2">
        <v>0.0</v>
      </c>
      <c r="V1051" s="2">
        <v>0.0</v>
      </c>
      <c r="W1051" s="2">
        <v>166.0</v>
      </c>
    </row>
    <row r="1052" ht="15.0" customHeight="1">
      <c r="A1052" s="2">
        <v>2025.0</v>
      </c>
      <c r="B1052" s="2" t="s">
        <v>74</v>
      </c>
      <c r="C1052" s="2">
        <v>5.0</v>
      </c>
      <c r="D1052" s="2" t="s">
        <v>75</v>
      </c>
      <c r="E1052" s="2" t="s">
        <v>61</v>
      </c>
      <c r="F1052" s="2" t="s">
        <v>48</v>
      </c>
      <c r="G1052" s="2" t="s">
        <v>34</v>
      </c>
      <c r="H1052" s="2" t="s">
        <v>35</v>
      </c>
      <c r="I1052" s="2" t="s">
        <v>29</v>
      </c>
      <c r="J1052" s="2">
        <v>32732.0</v>
      </c>
      <c r="K1052" s="2">
        <v>20395.0</v>
      </c>
      <c r="L1052" s="2">
        <v>9533.0</v>
      </c>
      <c r="M1052" s="2">
        <v>9087.0</v>
      </c>
      <c r="N1052" s="2">
        <v>3870.0</v>
      </c>
      <c r="O1052" s="2">
        <v>5089.0</v>
      </c>
      <c r="P1052" s="2">
        <v>4098.0</v>
      </c>
      <c r="Q1052" s="2">
        <v>0.0</v>
      </c>
      <c r="R1052" s="2">
        <v>55274.0</v>
      </c>
      <c r="S1052" s="2">
        <v>39715.0</v>
      </c>
      <c r="T1052" s="2">
        <v>15559.0</v>
      </c>
      <c r="U1052" s="2">
        <v>38183.0</v>
      </c>
      <c r="V1052" s="2">
        <v>1532.0</v>
      </c>
      <c r="W1052" s="2">
        <v>17092.0</v>
      </c>
    </row>
    <row r="1053" ht="15.0" customHeight="1">
      <c r="A1053" s="2">
        <v>2025.0</v>
      </c>
      <c r="B1053" s="2" t="s">
        <v>74</v>
      </c>
      <c r="C1053" s="2">
        <v>5.0</v>
      </c>
      <c r="D1053" s="2" t="s">
        <v>75</v>
      </c>
      <c r="E1053" s="2" t="s">
        <v>61</v>
      </c>
      <c r="F1053" s="2" t="s">
        <v>48</v>
      </c>
      <c r="G1053" s="2" t="s">
        <v>34</v>
      </c>
      <c r="H1053" s="2" t="s">
        <v>35</v>
      </c>
      <c r="I1053" s="2" t="s">
        <v>30</v>
      </c>
      <c r="J1053" s="2">
        <v>18576.0</v>
      </c>
      <c r="K1053" s="2">
        <v>9909.0</v>
      </c>
      <c r="L1053" s="2">
        <v>3744.0</v>
      </c>
      <c r="M1053" s="2">
        <v>3509.0</v>
      </c>
      <c r="N1053" s="2">
        <v>1331.0</v>
      </c>
      <c r="O1053" s="2">
        <v>1735.0</v>
      </c>
      <c r="P1053" s="2">
        <v>1361.0</v>
      </c>
      <c r="Q1053" s="2">
        <v>0.0</v>
      </c>
      <c r="R1053" s="2">
        <v>18594.0</v>
      </c>
      <c r="S1053" s="2">
        <v>12624.0</v>
      </c>
      <c r="T1053" s="2">
        <v>5971.0</v>
      </c>
      <c r="U1053" s="2">
        <v>12624.0</v>
      </c>
      <c r="V1053" s="2">
        <v>0.0</v>
      </c>
      <c r="W1053" s="2">
        <v>5971.0</v>
      </c>
    </row>
    <row r="1054" ht="15.0" customHeight="1">
      <c r="A1054" s="2">
        <v>2025.0</v>
      </c>
      <c r="B1054" s="2" t="s">
        <v>74</v>
      </c>
      <c r="C1054" s="2">
        <v>5.0</v>
      </c>
      <c r="D1054" s="2" t="s">
        <v>75</v>
      </c>
      <c r="E1054" s="2" t="s">
        <v>61</v>
      </c>
      <c r="F1054" s="2" t="s">
        <v>48</v>
      </c>
      <c r="G1054" s="2" t="s">
        <v>34</v>
      </c>
      <c r="H1054" s="2" t="s">
        <v>35</v>
      </c>
      <c r="I1054" s="2" t="s">
        <v>31</v>
      </c>
      <c r="J1054" s="2">
        <v>1039.0</v>
      </c>
      <c r="K1054" s="2">
        <v>572.0</v>
      </c>
      <c r="L1054" s="2">
        <v>413.0</v>
      </c>
      <c r="M1054" s="2">
        <v>351.0</v>
      </c>
      <c r="N1054" s="2">
        <v>137.0</v>
      </c>
      <c r="O1054" s="2">
        <v>185.0</v>
      </c>
      <c r="P1054" s="2">
        <v>152.0</v>
      </c>
      <c r="Q1054" s="2">
        <v>0.0</v>
      </c>
      <c r="R1054" s="2">
        <v>1843.0</v>
      </c>
      <c r="S1054" s="2">
        <v>0.0</v>
      </c>
      <c r="T1054" s="2">
        <v>1843.0</v>
      </c>
      <c r="U1054" s="2">
        <v>0.0</v>
      </c>
      <c r="V1054" s="2">
        <v>0.0</v>
      </c>
      <c r="W1054" s="2">
        <v>1843.0</v>
      </c>
    </row>
    <row r="1055" ht="15.0" customHeight="1">
      <c r="A1055" s="2">
        <v>2025.0</v>
      </c>
      <c r="B1055" s="2" t="s">
        <v>74</v>
      </c>
      <c r="C1055" s="2">
        <v>5.0</v>
      </c>
      <c r="D1055" s="2" t="s">
        <v>75</v>
      </c>
      <c r="E1055" s="2" t="s">
        <v>61</v>
      </c>
      <c r="F1055" s="2" t="s">
        <v>48</v>
      </c>
      <c r="G1055" s="2" t="s">
        <v>36</v>
      </c>
      <c r="H1055" s="2" t="s">
        <v>35</v>
      </c>
      <c r="I1055" s="2" t="s">
        <v>29</v>
      </c>
      <c r="J1055" s="2">
        <v>14184.0</v>
      </c>
      <c r="K1055" s="2">
        <v>8152.0</v>
      </c>
      <c r="L1055" s="2">
        <v>4123.0</v>
      </c>
      <c r="M1055" s="2">
        <v>3970.0</v>
      </c>
      <c r="N1055" s="2">
        <v>3004.0</v>
      </c>
      <c r="O1055" s="2">
        <v>5141.0</v>
      </c>
      <c r="P1055" s="2">
        <v>4452.0</v>
      </c>
      <c r="Q1055" s="2">
        <v>0.0</v>
      </c>
      <c r="R1055" s="2">
        <v>54089.0</v>
      </c>
      <c r="S1055" s="2">
        <v>33593.0</v>
      </c>
      <c r="T1055" s="2">
        <v>20496.0</v>
      </c>
      <c r="U1055" s="2">
        <v>32457.0</v>
      </c>
      <c r="V1055" s="2">
        <v>1136.0</v>
      </c>
      <c r="W1055" s="2">
        <v>21632.0</v>
      </c>
    </row>
    <row r="1056" ht="15.0" customHeight="1">
      <c r="A1056" s="2">
        <v>2025.0</v>
      </c>
      <c r="B1056" s="2" t="s">
        <v>74</v>
      </c>
      <c r="C1056" s="2">
        <v>5.0</v>
      </c>
      <c r="D1056" s="2" t="s">
        <v>75</v>
      </c>
      <c r="E1056" s="2" t="s">
        <v>61</v>
      </c>
      <c r="F1056" s="2" t="s">
        <v>48</v>
      </c>
      <c r="G1056" s="2" t="s">
        <v>36</v>
      </c>
      <c r="H1056" s="2" t="s">
        <v>35</v>
      </c>
      <c r="I1056" s="2" t="s">
        <v>30</v>
      </c>
      <c r="J1056" s="2">
        <v>3610.0</v>
      </c>
      <c r="K1056" s="2">
        <v>1550.0</v>
      </c>
      <c r="L1056" s="2">
        <v>835.0</v>
      </c>
      <c r="M1056" s="2">
        <v>784.0</v>
      </c>
      <c r="N1056" s="2">
        <v>575.0</v>
      </c>
      <c r="O1056" s="2">
        <v>949.0</v>
      </c>
      <c r="P1056" s="2">
        <v>809.0</v>
      </c>
      <c r="Q1056" s="2">
        <v>0.0</v>
      </c>
      <c r="R1056" s="2">
        <v>9867.0</v>
      </c>
      <c r="S1056" s="2">
        <v>7438.0</v>
      </c>
      <c r="T1056" s="2">
        <v>2429.0</v>
      </c>
      <c r="U1056" s="2">
        <v>7438.0</v>
      </c>
      <c r="V1056" s="2">
        <v>0.0</v>
      </c>
      <c r="W1056" s="2">
        <v>2429.0</v>
      </c>
    </row>
    <row r="1057" ht="15.0" customHeight="1">
      <c r="A1057" s="2">
        <v>2025.0</v>
      </c>
      <c r="B1057" s="2" t="s">
        <v>74</v>
      </c>
      <c r="C1057" s="2">
        <v>5.0</v>
      </c>
      <c r="D1057" s="2" t="s">
        <v>75</v>
      </c>
      <c r="E1057" s="2" t="s">
        <v>61</v>
      </c>
      <c r="F1057" s="2" t="s">
        <v>48</v>
      </c>
      <c r="G1057" s="2" t="s">
        <v>36</v>
      </c>
      <c r="H1057" s="2" t="s">
        <v>35</v>
      </c>
      <c r="I1057" s="2" t="s">
        <v>31</v>
      </c>
      <c r="J1057" s="2">
        <v>915.0</v>
      </c>
      <c r="K1057" s="2">
        <v>618.0</v>
      </c>
      <c r="L1057" s="2">
        <v>395.0</v>
      </c>
      <c r="M1057" s="2">
        <v>349.0</v>
      </c>
      <c r="N1057" s="2">
        <v>249.0</v>
      </c>
      <c r="O1057" s="2">
        <v>445.0</v>
      </c>
      <c r="P1057" s="2">
        <v>393.0</v>
      </c>
      <c r="Q1057" s="2">
        <v>0.0</v>
      </c>
      <c r="R1057" s="2">
        <v>4914.0</v>
      </c>
      <c r="S1057" s="2">
        <v>0.0</v>
      </c>
      <c r="T1057" s="2">
        <v>4914.0</v>
      </c>
      <c r="U1057" s="2">
        <v>0.0</v>
      </c>
      <c r="V1057" s="2">
        <v>0.0</v>
      </c>
      <c r="W1057" s="2">
        <v>4914.0</v>
      </c>
    </row>
    <row r="1058" ht="15.0" customHeight="1">
      <c r="A1058" s="2">
        <v>2025.0</v>
      </c>
      <c r="B1058" s="2" t="s">
        <v>74</v>
      </c>
      <c r="C1058" s="2">
        <v>5.0</v>
      </c>
      <c r="D1058" s="2" t="s">
        <v>75</v>
      </c>
      <c r="E1058" s="2" t="s">
        <v>61</v>
      </c>
      <c r="F1058" s="2" t="s">
        <v>48</v>
      </c>
      <c r="G1058" s="2" t="s">
        <v>37</v>
      </c>
      <c r="H1058" s="2" t="s">
        <v>35</v>
      </c>
      <c r="I1058" s="2" t="s">
        <v>29</v>
      </c>
      <c r="J1058" s="2">
        <v>3877.0</v>
      </c>
      <c r="K1058" s="2">
        <v>1921.0</v>
      </c>
      <c r="L1058" s="2">
        <v>802.0</v>
      </c>
      <c r="M1058" s="2">
        <v>749.0</v>
      </c>
      <c r="N1058" s="2">
        <v>602.0</v>
      </c>
      <c r="O1058" s="2">
        <v>1679.0</v>
      </c>
      <c r="P1058" s="2">
        <v>1328.0</v>
      </c>
      <c r="Q1058" s="2">
        <v>156.0</v>
      </c>
      <c r="R1058" s="2">
        <v>32728.0</v>
      </c>
      <c r="S1058" s="2">
        <v>16060.0</v>
      </c>
      <c r="T1058" s="2">
        <v>16668.0</v>
      </c>
      <c r="U1058" s="2">
        <v>16060.0</v>
      </c>
      <c r="V1058" s="2">
        <v>0.0</v>
      </c>
      <c r="W1058" s="2">
        <v>16668.0</v>
      </c>
    </row>
    <row r="1059" ht="15.0" customHeight="1">
      <c r="A1059" s="2">
        <v>2025.0</v>
      </c>
      <c r="B1059" s="2" t="s">
        <v>74</v>
      </c>
      <c r="C1059" s="2">
        <v>5.0</v>
      </c>
      <c r="D1059" s="2" t="s">
        <v>75</v>
      </c>
      <c r="E1059" s="2" t="s">
        <v>61</v>
      </c>
      <c r="F1059" s="2" t="s">
        <v>48</v>
      </c>
      <c r="G1059" s="2" t="s">
        <v>37</v>
      </c>
      <c r="H1059" s="2" t="s">
        <v>35</v>
      </c>
      <c r="I1059" s="2" t="s">
        <v>30</v>
      </c>
      <c r="J1059" s="2">
        <v>2199.0</v>
      </c>
      <c r="K1059" s="2">
        <v>640.0</v>
      </c>
      <c r="L1059" s="2">
        <v>225.0</v>
      </c>
      <c r="M1059" s="2">
        <v>209.0</v>
      </c>
      <c r="N1059" s="2">
        <v>169.0</v>
      </c>
      <c r="O1059" s="2">
        <v>514.0</v>
      </c>
      <c r="P1059" s="2">
        <v>427.0</v>
      </c>
      <c r="Q1059" s="2">
        <v>34.0</v>
      </c>
      <c r="R1059" s="2">
        <v>10633.0</v>
      </c>
      <c r="S1059" s="2">
        <v>7693.0</v>
      </c>
      <c r="T1059" s="2">
        <v>2940.0</v>
      </c>
      <c r="U1059" s="2">
        <v>7693.0</v>
      </c>
      <c r="V1059" s="2">
        <v>0.0</v>
      </c>
      <c r="W1059" s="2">
        <v>2940.0</v>
      </c>
    </row>
    <row r="1060" ht="15.0" customHeight="1">
      <c r="A1060" s="2">
        <v>2025.0</v>
      </c>
      <c r="B1060" s="2" t="s">
        <v>74</v>
      </c>
      <c r="C1060" s="2">
        <v>5.0</v>
      </c>
      <c r="D1060" s="2" t="s">
        <v>75</v>
      </c>
      <c r="E1060" s="2" t="s">
        <v>61</v>
      </c>
      <c r="F1060" s="2" t="s">
        <v>48</v>
      </c>
      <c r="G1060" s="2" t="s">
        <v>37</v>
      </c>
      <c r="H1060" s="2" t="s">
        <v>35</v>
      </c>
      <c r="I1060" s="2" t="s">
        <v>31</v>
      </c>
      <c r="J1060" s="2">
        <v>116.0</v>
      </c>
      <c r="K1060" s="2">
        <v>74.0</v>
      </c>
      <c r="L1060" s="2">
        <v>27.0</v>
      </c>
      <c r="M1060" s="2">
        <v>25.0</v>
      </c>
      <c r="N1060" s="2">
        <v>21.0</v>
      </c>
      <c r="O1060" s="2">
        <v>65.0</v>
      </c>
      <c r="P1060" s="2">
        <v>51.0</v>
      </c>
      <c r="Q1060" s="2">
        <v>5.0</v>
      </c>
      <c r="R1060" s="2">
        <v>1284.0</v>
      </c>
      <c r="S1060" s="2">
        <v>0.0</v>
      </c>
      <c r="T1060" s="2">
        <v>1284.0</v>
      </c>
      <c r="U1060" s="2">
        <v>0.0</v>
      </c>
      <c r="V1060" s="2">
        <v>0.0</v>
      </c>
      <c r="W1060" s="2">
        <v>1284.0</v>
      </c>
    </row>
    <row r="1061" ht="15.0" customHeight="1">
      <c r="A1061" s="2">
        <v>2025.0</v>
      </c>
      <c r="B1061" s="2" t="s">
        <v>74</v>
      </c>
      <c r="C1061" s="2">
        <v>5.0</v>
      </c>
      <c r="D1061" s="2" t="s">
        <v>75</v>
      </c>
      <c r="E1061" s="2" t="s">
        <v>61</v>
      </c>
      <c r="F1061" s="2" t="s">
        <v>48</v>
      </c>
      <c r="G1061" s="2" t="s">
        <v>38</v>
      </c>
      <c r="H1061" s="2" t="s">
        <v>35</v>
      </c>
      <c r="I1061" s="2" t="s">
        <v>29</v>
      </c>
      <c r="J1061" s="2">
        <v>2272.0</v>
      </c>
      <c r="K1061" s="2">
        <v>1228.0</v>
      </c>
      <c r="L1061" s="2">
        <v>638.0</v>
      </c>
      <c r="M1061" s="2">
        <v>614.0</v>
      </c>
      <c r="N1061" s="2">
        <v>333.0</v>
      </c>
      <c r="O1061" s="2">
        <v>476.0</v>
      </c>
      <c r="P1061" s="2">
        <v>366.0</v>
      </c>
      <c r="Q1061" s="2">
        <v>97.0</v>
      </c>
      <c r="R1061" s="2">
        <v>6593.0</v>
      </c>
      <c r="S1061" s="2">
        <v>3487.0</v>
      </c>
      <c r="T1061" s="2">
        <v>3106.0</v>
      </c>
      <c r="U1061" s="2">
        <v>3335.0</v>
      </c>
      <c r="V1061" s="2">
        <v>153.0</v>
      </c>
      <c r="W1061" s="2">
        <v>3258.0</v>
      </c>
    </row>
    <row r="1062" ht="15.0" customHeight="1">
      <c r="A1062" s="2">
        <v>2025.0</v>
      </c>
      <c r="B1062" s="2" t="s">
        <v>74</v>
      </c>
      <c r="C1062" s="2">
        <v>5.0</v>
      </c>
      <c r="D1062" s="2" t="s">
        <v>75</v>
      </c>
      <c r="E1062" s="2" t="s">
        <v>61</v>
      </c>
      <c r="F1062" s="2" t="s">
        <v>48</v>
      </c>
      <c r="G1062" s="2" t="s">
        <v>38</v>
      </c>
      <c r="H1062" s="2" t="s">
        <v>35</v>
      </c>
      <c r="I1062" s="2" t="s">
        <v>30</v>
      </c>
      <c r="J1062" s="2">
        <v>7792.0</v>
      </c>
      <c r="K1062" s="2">
        <v>2979.0</v>
      </c>
      <c r="L1062" s="2">
        <v>1996.0</v>
      </c>
      <c r="M1062" s="2">
        <v>1905.0</v>
      </c>
      <c r="N1062" s="2">
        <v>1043.0</v>
      </c>
      <c r="O1062" s="2">
        <v>1348.0</v>
      </c>
      <c r="P1062" s="2">
        <v>1070.0</v>
      </c>
      <c r="Q1062" s="2">
        <v>346.0</v>
      </c>
      <c r="R1062" s="2">
        <v>18707.0</v>
      </c>
      <c r="S1062" s="2">
        <v>13027.0</v>
      </c>
      <c r="T1062" s="2">
        <v>5679.0</v>
      </c>
      <c r="U1062" s="2">
        <v>13027.0</v>
      </c>
      <c r="V1062" s="2">
        <v>0.0</v>
      </c>
      <c r="W1062" s="2">
        <v>5679.0</v>
      </c>
    </row>
    <row r="1063" ht="15.0" customHeight="1">
      <c r="A1063" s="2">
        <v>2025.0</v>
      </c>
      <c r="B1063" s="2" t="s">
        <v>74</v>
      </c>
      <c r="C1063" s="2">
        <v>5.0</v>
      </c>
      <c r="D1063" s="2" t="s">
        <v>75</v>
      </c>
      <c r="E1063" s="2" t="s">
        <v>61</v>
      </c>
      <c r="F1063" s="2" t="s">
        <v>48</v>
      </c>
      <c r="G1063" s="2" t="s">
        <v>38</v>
      </c>
      <c r="H1063" s="2" t="s">
        <v>35</v>
      </c>
      <c r="I1063" s="2" t="s">
        <v>31</v>
      </c>
      <c r="J1063" s="2">
        <v>838.0</v>
      </c>
      <c r="K1063" s="2">
        <v>523.0</v>
      </c>
      <c r="L1063" s="2">
        <v>377.0</v>
      </c>
      <c r="M1063" s="2">
        <v>359.0</v>
      </c>
      <c r="N1063" s="2">
        <v>183.0</v>
      </c>
      <c r="O1063" s="2">
        <v>240.0</v>
      </c>
      <c r="P1063" s="2">
        <v>184.0</v>
      </c>
      <c r="Q1063" s="2">
        <v>65.0</v>
      </c>
      <c r="R1063" s="2">
        <v>3215.0</v>
      </c>
      <c r="S1063" s="2">
        <v>0.0</v>
      </c>
      <c r="T1063" s="2">
        <v>3215.0</v>
      </c>
      <c r="U1063" s="2">
        <v>0.0</v>
      </c>
      <c r="V1063" s="2">
        <v>0.0</v>
      </c>
      <c r="W1063" s="2">
        <v>3215.0</v>
      </c>
    </row>
    <row r="1064" ht="15.0" customHeight="1">
      <c r="A1064" s="2">
        <v>2025.0</v>
      </c>
      <c r="B1064" s="2" t="s">
        <v>74</v>
      </c>
      <c r="C1064" s="2">
        <v>5.0</v>
      </c>
      <c r="D1064" s="2" t="s">
        <v>75</v>
      </c>
      <c r="E1064" s="2" t="s">
        <v>61</v>
      </c>
      <c r="F1064" s="2" t="s">
        <v>48</v>
      </c>
      <c r="G1064" s="2" t="s">
        <v>39</v>
      </c>
      <c r="H1064" s="2" t="s">
        <v>40</v>
      </c>
      <c r="I1064" s="2" t="s">
        <v>29</v>
      </c>
      <c r="J1064" s="2">
        <v>26053.0</v>
      </c>
      <c r="K1064" s="2">
        <v>15505.0</v>
      </c>
      <c r="L1064" s="2">
        <v>7346.0</v>
      </c>
      <c r="M1064" s="2">
        <v>6916.0</v>
      </c>
      <c r="N1064" s="2">
        <v>5964.0</v>
      </c>
      <c r="O1064" s="2">
        <v>10046.0</v>
      </c>
      <c r="P1064" s="2">
        <v>9522.0</v>
      </c>
      <c r="Q1064" s="2">
        <v>7347.0</v>
      </c>
      <c r="R1064" s="2">
        <v>66130.0</v>
      </c>
      <c r="S1064" s="2">
        <v>47245.0</v>
      </c>
      <c r="T1064" s="2">
        <v>18884.0</v>
      </c>
      <c r="U1064" s="2">
        <v>46271.0</v>
      </c>
      <c r="V1064" s="2">
        <v>975.0</v>
      </c>
      <c r="W1064" s="2">
        <v>19859.0</v>
      </c>
    </row>
    <row r="1065" ht="15.0" customHeight="1">
      <c r="A1065" s="2">
        <v>2025.0</v>
      </c>
      <c r="B1065" s="2" t="s">
        <v>74</v>
      </c>
      <c r="C1065" s="2">
        <v>5.0</v>
      </c>
      <c r="D1065" s="2" t="s">
        <v>75</v>
      </c>
      <c r="E1065" s="2" t="s">
        <v>61</v>
      </c>
      <c r="F1065" s="2" t="s">
        <v>48</v>
      </c>
      <c r="G1065" s="2" t="s">
        <v>39</v>
      </c>
      <c r="H1065" s="2" t="s">
        <v>40</v>
      </c>
      <c r="I1065" s="2" t="s">
        <v>30</v>
      </c>
      <c r="J1065" s="2">
        <v>6624.0</v>
      </c>
      <c r="K1065" s="2">
        <v>3133.0</v>
      </c>
      <c r="L1065" s="2">
        <v>1319.0</v>
      </c>
      <c r="M1065" s="2">
        <v>1237.0</v>
      </c>
      <c r="N1065" s="2">
        <v>1080.0</v>
      </c>
      <c r="O1065" s="2">
        <v>1863.0</v>
      </c>
      <c r="P1065" s="2">
        <v>1758.0</v>
      </c>
      <c r="Q1065" s="2">
        <v>1324.0</v>
      </c>
      <c r="R1065" s="2">
        <v>11697.0</v>
      </c>
      <c r="S1065" s="2">
        <v>9609.0</v>
      </c>
      <c r="T1065" s="2">
        <v>2090.0</v>
      </c>
      <c r="U1065" s="2">
        <v>9609.0</v>
      </c>
      <c r="V1065" s="2">
        <v>0.0</v>
      </c>
      <c r="W1065" s="2">
        <v>2090.0</v>
      </c>
    </row>
    <row r="1066" ht="15.0" customHeight="1">
      <c r="A1066" s="2">
        <v>2025.0</v>
      </c>
      <c r="B1066" s="2" t="s">
        <v>74</v>
      </c>
      <c r="C1066" s="2">
        <v>5.0</v>
      </c>
      <c r="D1066" s="2" t="s">
        <v>75</v>
      </c>
      <c r="E1066" s="2" t="s">
        <v>61</v>
      </c>
      <c r="F1066" s="2" t="s">
        <v>48</v>
      </c>
      <c r="G1066" s="2" t="s">
        <v>39</v>
      </c>
      <c r="H1066" s="2" t="s">
        <v>40</v>
      </c>
      <c r="I1066" s="2" t="s">
        <v>31</v>
      </c>
      <c r="J1066" s="2">
        <v>2126.0</v>
      </c>
      <c r="K1066" s="2">
        <v>1498.0</v>
      </c>
      <c r="L1066" s="2">
        <v>849.0</v>
      </c>
      <c r="M1066" s="2">
        <v>741.0</v>
      </c>
      <c r="N1066" s="2">
        <v>657.0</v>
      </c>
      <c r="O1066" s="2">
        <v>1133.0</v>
      </c>
      <c r="P1066" s="2">
        <v>1061.0</v>
      </c>
      <c r="Q1066" s="2">
        <v>764.0</v>
      </c>
      <c r="R1066" s="2">
        <v>7579.0</v>
      </c>
      <c r="S1066" s="2">
        <v>0.0</v>
      </c>
      <c r="T1066" s="2">
        <v>7579.0</v>
      </c>
      <c r="U1066" s="2">
        <v>0.0</v>
      </c>
      <c r="V1066" s="2">
        <v>0.0</v>
      </c>
      <c r="W1066" s="2">
        <v>7579.0</v>
      </c>
    </row>
    <row r="1067" ht="15.0" customHeight="1">
      <c r="A1067" s="2">
        <v>2025.0</v>
      </c>
      <c r="B1067" s="2" t="s">
        <v>74</v>
      </c>
      <c r="C1067" s="2">
        <v>5.0</v>
      </c>
      <c r="D1067" s="2" t="s">
        <v>75</v>
      </c>
      <c r="E1067" s="2" t="s">
        <v>61</v>
      </c>
      <c r="F1067" s="2" t="s">
        <v>48</v>
      </c>
      <c r="G1067" s="2" t="s">
        <v>41</v>
      </c>
      <c r="H1067" s="2" t="s">
        <v>42</v>
      </c>
      <c r="I1067" s="2" t="s">
        <v>29</v>
      </c>
      <c r="J1067" s="2">
        <v>11850.0</v>
      </c>
      <c r="K1067" s="2">
        <v>7120.0</v>
      </c>
      <c r="L1067" s="2">
        <v>2288.0</v>
      </c>
      <c r="M1067" s="2">
        <v>1942.0</v>
      </c>
      <c r="N1067" s="2">
        <v>1021.0</v>
      </c>
      <c r="O1067" s="2">
        <v>1507.0</v>
      </c>
      <c r="P1067" s="2">
        <v>1170.0</v>
      </c>
      <c r="Q1067" s="2">
        <v>0.0</v>
      </c>
      <c r="R1067" s="2">
        <v>9529.0</v>
      </c>
      <c r="S1067" s="2">
        <v>12041.0</v>
      </c>
      <c r="T1067" s="2">
        <v>-2512.0</v>
      </c>
      <c r="U1067" s="2">
        <v>4884.0</v>
      </c>
      <c r="V1067" s="2">
        <v>7157.0</v>
      </c>
      <c r="W1067" s="2">
        <v>4645.0</v>
      </c>
    </row>
    <row r="1068" ht="15.0" customHeight="1">
      <c r="A1068" s="2">
        <v>2025.0</v>
      </c>
      <c r="B1068" s="2" t="s">
        <v>74</v>
      </c>
      <c r="C1068" s="2">
        <v>5.0</v>
      </c>
      <c r="D1068" s="2" t="s">
        <v>75</v>
      </c>
      <c r="E1068" s="2" t="s">
        <v>61</v>
      </c>
      <c r="F1068" s="2" t="s">
        <v>48</v>
      </c>
      <c r="G1068" s="2" t="s">
        <v>41</v>
      </c>
      <c r="H1068" s="2" t="s">
        <v>42</v>
      </c>
      <c r="I1068" s="2" t="s">
        <v>30</v>
      </c>
      <c r="J1068" s="2">
        <v>4980.0</v>
      </c>
      <c r="K1068" s="2">
        <v>2994.0</v>
      </c>
      <c r="L1068" s="2">
        <v>1715.0</v>
      </c>
      <c r="M1068" s="2">
        <v>1614.0</v>
      </c>
      <c r="N1068" s="2">
        <v>888.0</v>
      </c>
      <c r="O1068" s="2">
        <v>1253.0</v>
      </c>
      <c r="P1068" s="2">
        <v>957.0</v>
      </c>
      <c r="Q1068" s="2">
        <v>0.0</v>
      </c>
      <c r="R1068" s="2">
        <v>7315.0</v>
      </c>
      <c r="S1068" s="2">
        <v>4052.0</v>
      </c>
      <c r="T1068" s="2">
        <v>3263.0</v>
      </c>
      <c r="U1068" s="2">
        <v>4052.0</v>
      </c>
      <c r="V1068" s="2">
        <v>0.0</v>
      </c>
      <c r="W1068" s="2">
        <v>3263.0</v>
      </c>
    </row>
    <row r="1069" ht="15.0" customHeight="1">
      <c r="A1069" s="2">
        <v>2025.0</v>
      </c>
      <c r="B1069" s="2" t="s">
        <v>74</v>
      </c>
      <c r="C1069" s="2">
        <v>5.0</v>
      </c>
      <c r="D1069" s="2" t="s">
        <v>75</v>
      </c>
      <c r="E1069" s="2" t="s">
        <v>61</v>
      </c>
      <c r="F1069" s="2" t="s">
        <v>48</v>
      </c>
      <c r="G1069" s="2" t="s">
        <v>41</v>
      </c>
      <c r="H1069" s="2" t="s">
        <v>42</v>
      </c>
      <c r="I1069" s="2" t="s">
        <v>31</v>
      </c>
      <c r="J1069" s="2">
        <v>7583.0</v>
      </c>
      <c r="K1069" s="2">
        <v>5753.0</v>
      </c>
      <c r="L1069" s="2">
        <v>4870.0</v>
      </c>
      <c r="M1069" s="2">
        <v>4179.0</v>
      </c>
      <c r="N1069" s="2">
        <v>1581.0</v>
      </c>
      <c r="O1069" s="2">
        <v>2262.0</v>
      </c>
      <c r="P1069" s="2">
        <v>1709.0</v>
      </c>
      <c r="Q1069" s="2">
        <v>0.0</v>
      </c>
      <c r="R1069" s="2">
        <v>16150.0</v>
      </c>
      <c r="S1069" s="2">
        <v>60.0</v>
      </c>
      <c r="T1069" s="2">
        <v>16090.0</v>
      </c>
      <c r="U1069" s="2">
        <v>60.0</v>
      </c>
      <c r="V1069" s="2">
        <v>0.0</v>
      </c>
      <c r="W1069" s="2">
        <v>16090.0</v>
      </c>
    </row>
    <row r="1070" ht="15.0" customHeight="1">
      <c r="A1070" s="2">
        <v>2025.0</v>
      </c>
      <c r="B1070" s="2" t="s">
        <v>74</v>
      </c>
      <c r="C1070" s="2">
        <v>5.0</v>
      </c>
      <c r="D1070" s="2" t="s">
        <v>75</v>
      </c>
      <c r="E1070" s="2" t="s">
        <v>61</v>
      </c>
      <c r="F1070" s="2" t="s">
        <v>48</v>
      </c>
      <c r="G1070" s="2" t="s">
        <v>43</v>
      </c>
      <c r="H1070" s="2" t="s">
        <v>42</v>
      </c>
      <c r="I1070" s="2" t="s">
        <v>29</v>
      </c>
      <c r="J1070" s="2">
        <v>22320.0</v>
      </c>
      <c r="K1070" s="2">
        <v>10440.0</v>
      </c>
      <c r="L1070" s="2">
        <v>4833.0</v>
      </c>
      <c r="M1070" s="2">
        <v>4459.0</v>
      </c>
      <c r="N1070" s="2">
        <v>1567.0</v>
      </c>
      <c r="O1070" s="2">
        <v>2791.0</v>
      </c>
      <c r="P1070" s="2">
        <v>2313.0</v>
      </c>
      <c r="Q1070" s="2">
        <v>0.0</v>
      </c>
      <c r="R1070" s="2">
        <v>83070.0</v>
      </c>
      <c r="S1070" s="2">
        <v>64561.0</v>
      </c>
      <c r="T1070" s="2">
        <v>18509.0</v>
      </c>
      <c r="U1070" s="2">
        <v>61974.0</v>
      </c>
      <c r="V1070" s="2">
        <v>2587.0</v>
      </c>
      <c r="W1070" s="2">
        <v>21096.0</v>
      </c>
    </row>
    <row r="1071" ht="15.0" customHeight="1">
      <c r="A1071" s="2">
        <v>2025.0</v>
      </c>
      <c r="B1071" s="2" t="s">
        <v>74</v>
      </c>
      <c r="C1071" s="2">
        <v>5.0</v>
      </c>
      <c r="D1071" s="2" t="s">
        <v>75</v>
      </c>
      <c r="E1071" s="2" t="s">
        <v>61</v>
      </c>
      <c r="F1071" s="2" t="s">
        <v>48</v>
      </c>
      <c r="G1071" s="2" t="s">
        <v>43</v>
      </c>
      <c r="H1071" s="2" t="s">
        <v>42</v>
      </c>
      <c r="I1071" s="2" t="s">
        <v>30</v>
      </c>
      <c r="J1071" s="2">
        <v>6878.0</v>
      </c>
      <c r="K1071" s="2">
        <v>2631.0</v>
      </c>
      <c r="L1071" s="2">
        <v>1362.0</v>
      </c>
      <c r="M1071" s="2">
        <v>1256.0</v>
      </c>
      <c r="N1071" s="2">
        <v>390.0</v>
      </c>
      <c r="O1071" s="2">
        <v>797.0</v>
      </c>
      <c r="P1071" s="2">
        <v>702.0</v>
      </c>
      <c r="Q1071" s="2">
        <v>0.0</v>
      </c>
      <c r="R1071" s="2">
        <v>25955.0</v>
      </c>
      <c r="S1071" s="2">
        <v>18136.0</v>
      </c>
      <c r="T1071" s="2">
        <v>7819.0</v>
      </c>
      <c r="U1071" s="2">
        <v>18136.0</v>
      </c>
      <c r="V1071" s="2">
        <v>0.0</v>
      </c>
      <c r="W1071" s="2">
        <v>7819.0</v>
      </c>
    </row>
    <row r="1072" ht="15.0" customHeight="1">
      <c r="A1072" s="2">
        <v>2025.0</v>
      </c>
      <c r="B1072" s="2" t="s">
        <v>74</v>
      </c>
      <c r="C1072" s="2">
        <v>5.0</v>
      </c>
      <c r="D1072" s="2" t="s">
        <v>75</v>
      </c>
      <c r="E1072" s="2" t="s">
        <v>61</v>
      </c>
      <c r="F1072" s="2" t="s">
        <v>48</v>
      </c>
      <c r="G1072" s="2" t="s">
        <v>43</v>
      </c>
      <c r="H1072" s="2" t="s">
        <v>42</v>
      </c>
      <c r="I1072" s="2" t="s">
        <v>31</v>
      </c>
      <c r="J1072" s="2">
        <v>781.0</v>
      </c>
      <c r="K1072" s="2">
        <v>557.0</v>
      </c>
      <c r="L1072" s="2">
        <v>398.0</v>
      </c>
      <c r="M1072" s="2">
        <v>331.0</v>
      </c>
      <c r="N1072" s="2">
        <v>166.0</v>
      </c>
      <c r="O1072" s="2">
        <v>384.0</v>
      </c>
      <c r="P1072" s="2">
        <v>350.0</v>
      </c>
      <c r="Q1072" s="2">
        <v>0.0</v>
      </c>
      <c r="R1072" s="2">
        <v>15496.0</v>
      </c>
      <c r="S1072" s="2">
        <v>22.0</v>
      </c>
      <c r="T1072" s="2">
        <v>15474.0</v>
      </c>
      <c r="U1072" s="2">
        <v>22.0</v>
      </c>
      <c r="V1072" s="2">
        <v>0.0</v>
      </c>
      <c r="W1072" s="2">
        <v>15474.0</v>
      </c>
    </row>
    <row r="1073" ht="15.0" customHeight="1">
      <c r="A1073" s="2">
        <v>2025.0</v>
      </c>
      <c r="B1073" s="2" t="s">
        <v>74</v>
      </c>
      <c r="C1073" s="2">
        <v>5.0</v>
      </c>
      <c r="D1073" s="2" t="s">
        <v>75</v>
      </c>
      <c r="E1073" s="2" t="s">
        <v>61</v>
      </c>
      <c r="F1073" s="2" t="s">
        <v>48</v>
      </c>
      <c r="G1073" s="2" t="s">
        <v>44</v>
      </c>
      <c r="H1073" s="2" t="s">
        <v>45</v>
      </c>
      <c r="I1073" s="2" t="s">
        <v>29</v>
      </c>
      <c r="J1073" s="2">
        <v>2263.0</v>
      </c>
      <c r="K1073" s="2">
        <v>1145.0</v>
      </c>
      <c r="L1073" s="2">
        <v>370.0</v>
      </c>
      <c r="M1073" s="2">
        <v>348.0</v>
      </c>
      <c r="N1073" s="2">
        <v>314.0</v>
      </c>
      <c r="O1073" s="2">
        <v>606.0</v>
      </c>
      <c r="P1073" s="2">
        <v>522.0</v>
      </c>
      <c r="Q1073" s="2">
        <v>225.0</v>
      </c>
      <c r="R1073" s="2">
        <v>12361.0</v>
      </c>
      <c r="S1073" s="2">
        <v>9336.0</v>
      </c>
      <c r="T1073" s="2">
        <v>3025.0</v>
      </c>
      <c r="U1073" s="2">
        <v>9336.0</v>
      </c>
      <c r="V1073" s="2">
        <v>0.0</v>
      </c>
      <c r="W1073" s="2">
        <v>3025.0</v>
      </c>
    </row>
    <row r="1074" ht="15.0" customHeight="1">
      <c r="A1074" s="2">
        <v>2025.0</v>
      </c>
      <c r="B1074" s="2" t="s">
        <v>74</v>
      </c>
      <c r="C1074" s="2">
        <v>5.0</v>
      </c>
      <c r="D1074" s="2" t="s">
        <v>75</v>
      </c>
      <c r="E1074" s="2" t="s">
        <v>61</v>
      </c>
      <c r="F1074" s="2" t="s">
        <v>48</v>
      </c>
      <c r="G1074" s="2" t="s">
        <v>44</v>
      </c>
      <c r="H1074" s="2" t="s">
        <v>45</v>
      </c>
      <c r="I1074" s="2" t="s">
        <v>30</v>
      </c>
      <c r="J1074" s="2">
        <v>3349.0</v>
      </c>
      <c r="K1074" s="2">
        <v>1589.0</v>
      </c>
      <c r="L1074" s="2">
        <v>402.0</v>
      </c>
      <c r="M1074" s="2">
        <v>376.0</v>
      </c>
      <c r="N1074" s="2">
        <v>302.0</v>
      </c>
      <c r="O1074" s="2">
        <v>539.0</v>
      </c>
      <c r="P1074" s="2">
        <v>466.0</v>
      </c>
      <c r="Q1074" s="2">
        <v>194.0</v>
      </c>
      <c r="R1074" s="2">
        <v>10710.0</v>
      </c>
      <c r="S1074" s="2">
        <v>6669.0</v>
      </c>
      <c r="T1074" s="2">
        <v>4041.0</v>
      </c>
      <c r="U1074" s="2">
        <v>6669.0</v>
      </c>
      <c r="V1074" s="2">
        <v>0.0</v>
      </c>
      <c r="W1074" s="2">
        <v>4041.0</v>
      </c>
    </row>
    <row r="1075" ht="15.0" customHeight="1">
      <c r="A1075" s="2">
        <v>2025.0</v>
      </c>
      <c r="B1075" s="2" t="s">
        <v>74</v>
      </c>
      <c r="C1075" s="2">
        <v>5.0</v>
      </c>
      <c r="D1075" s="2" t="s">
        <v>75</v>
      </c>
      <c r="E1075" s="2" t="s">
        <v>61</v>
      </c>
      <c r="F1075" s="2" t="s">
        <v>48</v>
      </c>
      <c r="G1075" s="2" t="s">
        <v>44</v>
      </c>
      <c r="H1075" s="2" t="s">
        <v>45</v>
      </c>
      <c r="I1075" s="2" t="s">
        <v>31</v>
      </c>
      <c r="J1075" s="2">
        <v>280.0</v>
      </c>
      <c r="K1075" s="2">
        <v>164.0</v>
      </c>
      <c r="L1075" s="2">
        <v>67.0</v>
      </c>
      <c r="M1075" s="2">
        <v>55.0</v>
      </c>
      <c r="N1075" s="2">
        <v>53.0</v>
      </c>
      <c r="O1075" s="2">
        <v>180.0</v>
      </c>
      <c r="P1075" s="2">
        <v>151.0</v>
      </c>
      <c r="Q1075" s="2">
        <v>47.0</v>
      </c>
      <c r="R1075" s="2">
        <v>4107.0</v>
      </c>
      <c r="S1075" s="2">
        <v>60.0</v>
      </c>
      <c r="T1075" s="2">
        <v>4047.0</v>
      </c>
      <c r="U1075" s="2">
        <v>60.0</v>
      </c>
      <c r="V1075" s="2">
        <v>0.0</v>
      </c>
      <c r="W1075" s="2">
        <v>4047.0</v>
      </c>
    </row>
    <row r="1076" ht="15.0" customHeight="1">
      <c r="A1076" s="2">
        <v>2025.0</v>
      </c>
      <c r="B1076" s="2" t="s">
        <v>74</v>
      </c>
      <c r="C1076" s="2">
        <v>5.0</v>
      </c>
      <c r="D1076" s="2" t="s">
        <v>75</v>
      </c>
      <c r="E1076" s="2" t="s">
        <v>61</v>
      </c>
      <c r="F1076" s="2" t="s">
        <v>48</v>
      </c>
      <c r="G1076" s="2" t="s">
        <v>46</v>
      </c>
      <c r="H1076" s="2" t="s">
        <v>47</v>
      </c>
      <c r="I1076" s="2" t="s">
        <v>29</v>
      </c>
      <c r="J1076" s="2">
        <v>15050.0</v>
      </c>
      <c r="K1076" s="2">
        <v>6831.0</v>
      </c>
      <c r="L1076" s="2">
        <v>2497.0</v>
      </c>
      <c r="M1076" s="2">
        <v>2297.0</v>
      </c>
      <c r="N1076" s="2">
        <v>2007.0</v>
      </c>
      <c r="O1076" s="2">
        <v>3932.0</v>
      </c>
      <c r="P1076" s="2">
        <v>3340.0</v>
      </c>
      <c r="Q1076" s="2">
        <v>1510.0</v>
      </c>
      <c r="R1076" s="2">
        <v>122339.0</v>
      </c>
      <c r="S1076" s="2">
        <v>85499.0</v>
      </c>
      <c r="T1076" s="2">
        <v>36841.0</v>
      </c>
      <c r="U1076" s="2">
        <v>84614.0</v>
      </c>
      <c r="V1076" s="2">
        <v>884.0</v>
      </c>
      <c r="W1076" s="2">
        <v>37725.0</v>
      </c>
    </row>
    <row r="1077" ht="15.0" customHeight="1">
      <c r="A1077" s="2">
        <v>2025.0</v>
      </c>
      <c r="B1077" s="2" t="s">
        <v>74</v>
      </c>
      <c r="C1077" s="2">
        <v>5.0</v>
      </c>
      <c r="D1077" s="2" t="s">
        <v>75</v>
      </c>
      <c r="E1077" s="2" t="s">
        <v>61</v>
      </c>
      <c r="F1077" s="2" t="s">
        <v>48</v>
      </c>
      <c r="G1077" s="2" t="s">
        <v>46</v>
      </c>
      <c r="H1077" s="2" t="s">
        <v>47</v>
      </c>
      <c r="I1077" s="2" t="s">
        <v>30</v>
      </c>
      <c r="J1077" s="2">
        <v>5406.0</v>
      </c>
      <c r="K1077" s="2">
        <v>1268.0</v>
      </c>
      <c r="L1077" s="2">
        <v>580.0</v>
      </c>
      <c r="M1077" s="2">
        <v>544.0</v>
      </c>
      <c r="N1077" s="2">
        <v>489.0</v>
      </c>
      <c r="O1077" s="2">
        <v>969.0</v>
      </c>
      <c r="P1077" s="2">
        <v>811.0</v>
      </c>
      <c r="Q1077" s="2">
        <v>387.0</v>
      </c>
      <c r="R1077" s="2">
        <v>30110.0</v>
      </c>
      <c r="S1077" s="2">
        <v>20704.0</v>
      </c>
      <c r="T1077" s="2">
        <v>9406.0</v>
      </c>
      <c r="U1077" s="2">
        <v>20704.0</v>
      </c>
      <c r="V1077" s="2">
        <v>0.0</v>
      </c>
      <c r="W1077" s="2">
        <v>9406.0</v>
      </c>
    </row>
    <row r="1078" ht="15.0" customHeight="1">
      <c r="A1078" s="2">
        <v>2025.0</v>
      </c>
      <c r="B1078" s="2" t="s">
        <v>74</v>
      </c>
      <c r="C1078" s="2">
        <v>5.0</v>
      </c>
      <c r="D1078" s="2" t="s">
        <v>75</v>
      </c>
      <c r="E1078" s="2" t="s">
        <v>61</v>
      </c>
      <c r="F1078" s="2" t="s">
        <v>48</v>
      </c>
      <c r="G1078" s="2" t="s">
        <v>46</v>
      </c>
      <c r="H1078" s="2" t="s">
        <v>47</v>
      </c>
      <c r="I1078" s="2" t="s">
        <v>31</v>
      </c>
      <c r="J1078" s="2">
        <v>886.0</v>
      </c>
      <c r="K1078" s="2">
        <v>434.0</v>
      </c>
      <c r="L1078" s="2">
        <v>233.0</v>
      </c>
      <c r="M1078" s="2">
        <v>188.0</v>
      </c>
      <c r="N1078" s="2">
        <v>174.0</v>
      </c>
      <c r="O1078" s="2">
        <v>348.0</v>
      </c>
      <c r="P1078" s="2">
        <v>303.0</v>
      </c>
      <c r="Q1078" s="2">
        <v>155.0</v>
      </c>
      <c r="R1078" s="2">
        <v>12372.0</v>
      </c>
      <c r="S1078" s="2">
        <v>262.0</v>
      </c>
      <c r="T1078" s="2">
        <v>12110.0</v>
      </c>
      <c r="U1078" s="2">
        <v>262.0</v>
      </c>
      <c r="V1078" s="2">
        <v>0.0</v>
      </c>
      <c r="W1078" s="2">
        <v>12110.0</v>
      </c>
    </row>
    <row r="1079" ht="15.0" customHeight="1">
      <c r="A1079" s="2">
        <v>2025.0</v>
      </c>
      <c r="B1079" s="2" t="s">
        <v>53</v>
      </c>
      <c r="C1079" s="2">
        <v>11.0</v>
      </c>
      <c r="D1079" s="2" t="s">
        <v>76</v>
      </c>
      <c r="E1079" s="2" t="s">
        <v>63</v>
      </c>
      <c r="F1079" s="2" t="s">
        <v>26</v>
      </c>
      <c r="G1079" s="2" t="s">
        <v>27</v>
      </c>
      <c r="H1079" s="2" t="s">
        <v>28</v>
      </c>
      <c r="I1079" s="2" t="s">
        <v>29</v>
      </c>
      <c r="J1079" s="2">
        <v>4622.0</v>
      </c>
      <c r="K1079" s="2">
        <v>2402.0</v>
      </c>
      <c r="L1079" s="2">
        <v>644.0</v>
      </c>
      <c r="M1079" s="2">
        <v>607.0</v>
      </c>
      <c r="N1079" s="2">
        <v>505.0</v>
      </c>
      <c r="O1079" s="2">
        <v>953.0</v>
      </c>
      <c r="P1079" s="2">
        <v>823.0</v>
      </c>
      <c r="Q1079" s="2">
        <v>147.0</v>
      </c>
      <c r="R1079" s="2">
        <v>19300.0</v>
      </c>
      <c r="S1079" s="2">
        <v>9872.0</v>
      </c>
      <c r="T1079" s="2">
        <v>9428.0</v>
      </c>
      <c r="U1079" s="2">
        <v>8886.0</v>
      </c>
      <c r="V1079" s="2">
        <v>986.0</v>
      </c>
      <c r="W1079" s="2">
        <v>10414.0</v>
      </c>
    </row>
    <row r="1080" ht="15.0" customHeight="1">
      <c r="A1080" s="2">
        <v>2025.0</v>
      </c>
      <c r="B1080" s="2" t="s">
        <v>53</v>
      </c>
      <c r="C1080" s="2">
        <v>11.0</v>
      </c>
      <c r="D1080" s="2" t="s">
        <v>76</v>
      </c>
      <c r="E1080" s="2" t="s">
        <v>63</v>
      </c>
      <c r="F1080" s="2" t="s">
        <v>26</v>
      </c>
      <c r="G1080" s="2" t="s">
        <v>27</v>
      </c>
      <c r="H1080" s="2" t="s">
        <v>28</v>
      </c>
      <c r="I1080" s="2" t="s">
        <v>30</v>
      </c>
      <c r="J1080" s="2">
        <v>1348.0</v>
      </c>
      <c r="K1080" s="2">
        <v>489.0</v>
      </c>
      <c r="L1080" s="2">
        <v>109.0</v>
      </c>
      <c r="M1080" s="2">
        <v>99.0</v>
      </c>
      <c r="N1080" s="2">
        <v>67.0</v>
      </c>
      <c r="O1080" s="2">
        <v>105.0</v>
      </c>
      <c r="P1080" s="2">
        <v>83.0</v>
      </c>
      <c r="Q1080" s="2">
        <v>15.0</v>
      </c>
      <c r="R1080" s="2">
        <v>1878.0</v>
      </c>
      <c r="S1080" s="2">
        <v>1135.0</v>
      </c>
      <c r="T1080" s="2">
        <v>743.0</v>
      </c>
      <c r="U1080" s="2">
        <v>1135.0</v>
      </c>
      <c r="V1080" s="2">
        <v>0.0</v>
      </c>
      <c r="W1080" s="2">
        <v>743.0</v>
      </c>
    </row>
    <row r="1081" ht="15.0" customHeight="1">
      <c r="A1081" s="2">
        <v>2025.0</v>
      </c>
      <c r="B1081" s="2" t="s">
        <v>53</v>
      </c>
      <c r="C1081" s="2">
        <v>11.0</v>
      </c>
      <c r="D1081" s="2" t="s">
        <v>76</v>
      </c>
      <c r="E1081" s="2" t="s">
        <v>63</v>
      </c>
      <c r="F1081" s="2" t="s">
        <v>26</v>
      </c>
      <c r="G1081" s="2" t="s">
        <v>27</v>
      </c>
      <c r="H1081" s="2" t="s">
        <v>28</v>
      </c>
      <c r="I1081" s="2" t="s">
        <v>31</v>
      </c>
      <c r="J1081" s="2">
        <v>673.0</v>
      </c>
      <c r="K1081" s="2">
        <v>297.0</v>
      </c>
      <c r="L1081" s="2">
        <v>173.0</v>
      </c>
      <c r="M1081" s="2">
        <v>152.0</v>
      </c>
      <c r="N1081" s="2">
        <v>111.0</v>
      </c>
      <c r="O1081" s="2">
        <v>210.0</v>
      </c>
      <c r="P1081" s="2">
        <v>178.0</v>
      </c>
      <c r="Q1081" s="2">
        <v>27.0</v>
      </c>
      <c r="R1081" s="2">
        <v>4101.0</v>
      </c>
      <c r="S1081" s="2">
        <v>510.0</v>
      </c>
      <c r="T1081" s="2">
        <v>3591.0</v>
      </c>
      <c r="U1081" s="2">
        <v>510.0</v>
      </c>
      <c r="V1081" s="2">
        <v>0.0</v>
      </c>
      <c r="W1081" s="2">
        <v>3591.0</v>
      </c>
    </row>
    <row r="1082" ht="15.0" customHeight="1">
      <c r="A1082" s="2">
        <v>2025.0</v>
      </c>
      <c r="B1082" s="2" t="s">
        <v>53</v>
      </c>
      <c r="C1082" s="2">
        <v>11.0</v>
      </c>
      <c r="D1082" s="2" t="s">
        <v>76</v>
      </c>
      <c r="E1082" s="2" t="s">
        <v>63</v>
      </c>
      <c r="F1082" s="2" t="s">
        <v>26</v>
      </c>
      <c r="G1082" s="2" t="s">
        <v>32</v>
      </c>
      <c r="H1082" s="2" t="s">
        <v>28</v>
      </c>
      <c r="I1082" s="2" t="s">
        <v>29</v>
      </c>
      <c r="J1082" s="2">
        <v>8883.0</v>
      </c>
      <c r="K1082" s="2">
        <v>4792.0</v>
      </c>
      <c r="L1082" s="2">
        <v>2289.0</v>
      </c>
      <c r="M1082" s="2">
        <v>2185.0</v>
      </c>
      <c r="N1082" s="2">
        <v>1636.0</v>
      </c>
      <c r="O1082" s="2">
        <v>2265.0</v>
      </c>
      <c r="P1082" s="2">
        <v>1974.0</v>
      </c>
      <c r="Q1082" s="2">
        <v>45.0</v>
      </c>
      <c r="R1082" s="2">
        <v>19655.0</v>
      </c>
      <c r="S1082" s="2">
        <v>9413.0</v>
      </c>
      <c r="T1082" s="2">
        <v>10242.0</v>
      </c>
      <c r="U1082" s="2">
        <v>9151.0</v>
      </c>
      <c r="V1082" s="2">
        <v>262.0</v>
      </c>
      <c r="W1082" s="2">
        <v>10505.0</v>
      </c>
    </row>
    <row r="1083" ht="15.0" customHeight="1">
      <c r="A1083" s="2">
        <v>2025.0</v>
      </c>
      <c r="B1083" s="2" t="s">
        <v>53</v>
      </c>
      <c r="C1083" s="2">
        <v>11.0</v>
      </c>
      <c r="D1083" s="2" t="s">
        <v>76</v>
      </c>
      <c r="E1083" s="2" t="s">
        <v>63</v>
      </c>
      <c r="F1083" s="2" t="s">
        <v>26</v>
      </c>
      <c r="G1083" s="2" t="s">
        <v>32</v>
      </c>
      <c r="H1083" s="2" t="s">
        <v>28</v>
      </c>
      <c r="I1083" s="2" t="s">
        <v>30</v>
      </c>
      <c r="J1083" s="2">
        <v>4187.0</v>
      </c>
      <c r="K1083" s="2">
        <v>1492.0</v>
      </c>
      <c r="L1083" s="2">
        <v>566.0</v>
      </c>
      <c r="M1083" s="2">
        <v>534.0</v>
      </c>
      <c r="N1083" s="2">
        <v>386.0</v>
      </c>
      <c r="O1083" s="2">
        <v>534.0</v>
      </c>
      <c r="P1083" s="2">
        <v>476.0</v>
      </c>
      <c r="Q1083" s="2">
        <v>7.0</v>
      </c>
      <c r="R1083" s="2">
        <v>4417.0</v>
      </c>
      <c r="S1083" s="2">
        <v>3479.0</v>
      </c>
      <c r="T1083" s="2">
        <v>938.0</v>
      </c>
      <c r="U1083" s="2">
        <v>3479.0</v>
      </c>
      <c r="V1083" s="2">
        <v>0.0</v>
      </c>
      <c r="W1083" s="2">
        <v>938.0</v>
      </c>
    </row>
    <row r="1084" ht="15.0" customHeight="1">
      <c r="A1084" s="2">
        <v>2025.0</v>
      </c>
      <c r="B1084" s="2" t="s">
        <v>53</v>
      </c>
      <c r="C1084" s="2">
        <v>11.0</v>
      </c>
      <c r="D1084" s="2" t="s">
        <v>76</v>
      </c>
      <c r="E1084" s="2" t="s">
        <v>63</v>
      </c>
      <c r="F1084" s="2" t="s">
        <v>26</v>
      </c>
      <c r="G1084" s="2" t="s">
        <v>32</v>
      </c>
      <c r="H1084" s="2" t="s">
        <v>28</v>
      </c>
      <c r="I1084" s="2" t="s">
        <v>31</v>
      </c>
      <c r="J1084" s="2">
        <v>4468.0</v>
      </c>
      <c r="K1084" s="2">
        <v>2606.0</v>
      </c>
      <c r="L1084" s="2">
        <v>1545.0</v>
      </c>
      <c r="M1084" s="2">
        <v>1428.0</v>
      </c>
      <c r="N1084" s="2">
        <v>1016.0</v>
      </c>
      <c r="O1084" s="2">
        <v>1417.0</v>
      </c>
      <c r="P1084" s="2">
        <v>1232.0</v>
      </c>
      <c r="Q1084" s="2">
        <v>15.0</v>
      </c>
      <c r="R1084" s="2">
        <v>12033.0</v>
      </c>
      <c r="S1084" s="2">
        <v>393.0</v>
      </c>
      <c r="T1084" s="2">
        <v>11640.0</v>
      </c>
      <c r="U1084" s="2">
        <v>393.0</v>
      </c>
      <c r="V1084" s="2">
        <v>0.0</v>
      </c>
      <c r="W1084" s="2">
        <v>11640.0</v>
      </c>
    </row>
    <row r="1085" ht="15.0" customHeight="1">
      <c r="A1085" s="2">
        <v>2025.0</v>
      </c>
      <c r="B1085" s="2" t="s">
        <v>53</v>
      </c>
      <c r="C1085" s="2">
        <v>11.0</v>
      </c>
      <c r="D1085" s="2" t="s">
        <v>76</v>
      </c>
      <c r="E1085" s="2" t="s">
        <v>63</v>
      </c>
      <c r="F1085" s="2" t="s">
        <v>26</v>
      </c>
      <c r="G1085" s="2" t="s">
        <v>33</v>
      </c>
      <c r="H1085" s="2" t="s">
        <v>28</v>
      </c>
      <c r="I1085" s="2" t="s">
        <v>29</v>
      </c>
      <c r="J1085" s="2">
        <v>9105.0</v>
      </c>
      <c r="K1085" s="2">
        <v>5088.0</v>
      </c>
      <c r="L1085" s="2">
        <v>2409.0</v>
      </c>
      <c r="M1085" s="2">
        <v>2308.0</v>
      </c>
      <c r="N1085" s="2">
        <v>1283.0</v>
      </c>
      <c r="O1085" s="2">
        <v>1481.0</v>
      </c>
      <c r="P1085" s="2">
        <v>1394.0</v>
      </c>
      <c r="Q1085" s="2">
        <v>175.0</v>
      </c>
      <c r="R1085" s="2">
        <v>17485.0</v>
      </c>
      <c r="S1085" s="2">
        <v>10281.0</v>
      </c>
      <c r="T1085" s="2">
        <v>7204.0</v>
      </c>
      <c r="U1085" s="2">
        <v>10279.0</v>
      </c>
      <c r="V1085" s="2">
        <v>2.0</v>
      </c>
      <c r="W1085" s="2">
        <v>7206.0</v>
      </c>
    </row>
    <row r="1086" ht="15.0" customHeight="1">
      <c r="A1086" s="2">
        <v>2025.0</v>
      </c>
      <c r="B1086" s="2" t="s">
        <v>53</v>
      </c>
      <c r="C1086" s="2">
        <v>11.0</v>
      </c>
      <c r="D1086" s="2" t="s">
        <v>76</v>
      </c>
      <c r="E1086" s="2" t="s">
        <v>63</v>
      </c>
      <c r="F1086" s="2" t="s">
        <v>26</v>
      </c>
      <c r="G1086" s="2" t="s">
        <v>33</v>
      </c>
      <c r="H1086" s="2" t="s">
        <v>28</v>
      </c>
      <c r="I1086" s="2" t="s">
        <v>30</v>
      </c>
      <c r="J1086" s="2">
        <v>1949.0</v>
      </c>
      <c r="K1086" s="2">
        <v>1033.0</v>
      </c>
      <c r="L1086" s="2">
        <v>427.0</v>
      </c>
      <c r="M1086" s="2">
        <v>403.0</v>
      </c>
      <c r="N1086" s="2">
        <v>220.0</v>
      </c>
      <c r="O1086" s="2">
        <v>271.0</v>
      </c>
      <c r="P1086" s="2">
        <v>257.0</v>
      </c>
      <c r="Q1086" s="2">
        <v>24.0</v>
      </c>
      <c r="R1086" s="2">
        <v>3170.0</v>
      </c>
      <c r="S1086" s="2">
        <v>1891.0</v>
      </c>
      <c r="T1086" s="2">
        <v>1279.0</v>
      </c>
      <c r="U1086" s="2">
        <v>1891.0</v>
      </c>
      <c r="V1086" s="2">
        <v>0.0</v>
      </c>
      <c r="W1086" s="2">
        <v>1279.0</v>
      </c>
    </row>
    <row r="1087" ht="15.0" customHeight="1">
      <c r="A1087" s="2">
        <v>2025.0</v>
      </c>
      <c r="B1087" s="2" t="s">
        <v>53</v>
      </c>
      <c r="C1087" s="2">
        <v>11.0</v>
      </c>
      <c r="D1087" s="2" t="s">
        <v>76</v>
      </c>
      <c r="E1087" s="2" t="s">
        <v>63</v>
      </c>
      <c r="F1087" s="2" t="s">
        <v>26</v>
      </c>
      <c r="G1087" s="2" t="s">
        <v>33</v>
      </c>
      <c r="H1087" s="2" t="s">
        <v>28</v>
      </c>
      <c r="I1087" s="2" t="s">
        <v>31</v>
      </c>
      <c r="J1087" s="2">
        <v>413.0</v>
      </c>
      <c r="K1087" s="2">
        <v>205.0</v>
      </c>
      <c r="L1087" s="2">
        <v>161.0</v>
      </c>
      <c r="M1087" s="2">
        <v>141.0</v>
      </c>
      <c r="N1087" s="2">
        <v>88.0</v>
      </c>
      <c r="O1087" s="2">
        <v>107.0</v>
      </c>
      <c r="P1087" s="2">
        <v>104.0</v>
      </c>
      <c r="Q1087" s="2">
        <v>14.0</v>
      </c>
      <c r="R1087" s="2">
        <v>1334.0</v>
      </c>
      <c r="S1087" s="2">
        <v>92.0</v>
      </c>
      <c r="T1087" s="2">
        <v>1241.0</v>
      </c>
      <c r="U1087" s="2">
        <v>92.0</v>
      </c>
      <c r="V1087" s="2">
        <v>0.0</v>
      </c>
      <c r="W1087" s="2">
        <v>1241.0</v>
      </c>
    </row>
    <row r="1088" ht="15.0" customHeight="1">
      <c r="A1088" s="2">
        <v>2025.0</v>
      </c>
      <c r="B1088" s="2" t="s">
        <v>53</v>
      </c>
      <c r="C1088" s="2">
        <v>11.0</v>
      </c>
      <c r="D1088" s="2" t="s">
        <v>76</v>
      </c>
      <c r="E1088" s="2" t="s">
        <v>63</v>
      </c>
      <c r="F1088" s="2" t="s">
        <v>26</v>
      </c>
      <c r="G1088" s="2" t="s">
        <v>34</v>
      </c>
      <c r="H1088" s="2" t="s">
        <v>35</v>
      </c>
      <c r="I1088" s="2" t="s">
        <v>29</v>
      </c>
      <c r="J1088" s="2">
        <v>8577.0</v>
      </c>
      <c r="K1088" s="2">
        <v>5363.0</v>
      </c>
      <c r="L1088" s="2">
        <v>2761.0</v>
      </c>
      <c r="M1088" s="2">
        <v>2648.0</v>
      </c>
      <c r="N1088" s="2">
        <v>970.0</v>
      </c>
      <c r="O1088" s="2">
        <v>1268.0</v>
      </c>
      <c r="P1088" s="2">
        <v>997.0</v>
      </c>
      <c r="Q1088" s="2">
        <v>0.0</v>
      </c>
      <c r="R1088" s="2">
        <v>13645.0</v>
      </c>
      <c r="S1088" s="2">
        <v>8324.0</v>
      </c>
      <c r="T1088" s="2">
        <v>5321.0</v>
      </c>
      <c r="U1088" s="2">
        <v>7381.0</v>
      </c>
      <c r="V1088" s="2">
        <v>942.0</v>
      </c>
      <c r="W1088" s="2">
        <v>6263.0</v>
      </c>
    </row>
    <row r="1089" ht="15.0" customHeight="1">
      <c r="A1089" s="2">
        <v>2025.0</v>
      </c>
      <c r="B1089" s="2" t="s">
        <v>53</v>
      </c>
      <c r="C1089" s="2">
        <v>11.0</v>
      </c>
      <c r="D1089" s="2" t="s">
        <v>76</v>
      </c>
      <c r="E1089" s="2" t="s">
        <v>63</v>
      </c>
      <c r="F1089" s="2" t="s">
        <v>26</v>
      </c>
      <c r="G1089" s="2" t="s">
        <v>34</v>
      </c>
      <c r="H1089" s="2" t="s">
        <v>35</v>
      </c>
      <c r="I1089" s="2" t="s">
        <v>30</v>
      </c>
      <c r="J1089" s="2">
        <v>3176.0</v>
      </c>
      <c r="K1089" s="2">
        <v>1777.0</v>
      </c>
      <c r="L1089" s="2">
        <v>750.0</v>
      </c>
      <c r="M1089" s="2">
        <v>701.0</v>
      </c>
      <c r="N1089" s="2">
        <v>298.0</v>
      </c>
      <c r="O1089" s="2">
        <v>391.0</v>
      </c>
      <c r="P1089" s="2">
        <v>316.0</v>
      </c>
      <c r="Q1089" s="2">
        <v>0.0</v>
      </c>
      <c r="R1089" s="2">
        <v>4462.0</v>
      </c>
      <c r="S1089" s="2">
        <v>2275.0</v>
      </c>
      <c r="T1089" s="2">
        <v>2187.0</v>
      </c>
      <c r="U1089" s="2">
        <v>2275.0</v>
      </c>
      <c r="V1089" s="2">
        <v>0.0</v>
      </c>
      <c r="W1089" s="2">
        <v>2187.0</v>
      </c>
    </row>
    <row r="1090" ht="15.0" customHeight="1">
      <c r="A1090" s="2">
        <v>2025.0</v>
      </c>
      <c r="B1090" s="2" t="s">
        <v>53</v>
      </c>
      <c r="C1090" s="2">
        <v>11.0</v>
      </c>
      <c r="D1090" s="2" t="s">
        <v>76</v>
      </c>
      <c r="E1090" s="2" t="s">
        <v>63</v>
      </c>
      <c r="F1090" s="2" t="s">
        <v>26</v>
      </c>
      <c r="G1090" s="2" t="s">
        <v>34</v>
      </c>
      <c r="H1090" s="2" t="s">
        <v>35</v>
      </c>
      <c r="I1090" s="2" t="s">
        <v>31</v>
      </c>
      <c r="J1090" s="2">
        <v>747.0</v>
      </c>
      <c r="K1090" s="2">
        <v>465.0</v>
      </c>
      <c r="L1090" s="2">
        <v>244.0</v>
      </c>
      <c r="M1090" s="2">
        <v>210.0</v>
      </c>
      <c r="N1090" s="2">
        <v>69.0</v>
      </c>
      <c r="O1090" s="2">
        <v>95.0</v>
      </c>
      <c r="P1090" s="2">
        <v>77.0</v>
      </c>
      <c r="Q1090" s="2">
        <v>0.0</v>
      </c>
      <c r="R1090" s="2">
        <v>1274.0</v>
      </c>
      <c r="S1090" s="2">
        <v>21.0</v>
      </c>
      <c r="T1090" s="2">
        <v>1253.0</v>
      </c>
      <c r="U1090" s="2">
        <v>21.0</v>
      </c>
      <c r="V1090" s="2">
        <v>0.0</v>
      </c>
      <c r="W1090" s="2">
        <v>1253.0</v>
      </c>
    </row>
    <row r="1091" ht="15.0" customHeight="1">
      <c r="A1091" s="2">
        <v>2025.0</v>
      </c>
      <c r="B1091" s="2" t="s">
        <v>53</v>
      </c>
      <c r="C1091" s="2">
        <v>11.0</v>
      </c>
      <c r="D1091" s="2" t="s">
        <v>76</v>
      </c>
      <c r="E1091" s="2" t="s">
        <v>63</v>
      </c>
      <c r="F1091" s="2" t="s">
        <v>26</v>
      </c>
      <c r="G1091" s="2" t="s">
        <v>36</v>
      </c>
      <c r="H1091" s="2" t="s">
        <v>35</v>
      </c>
      <c r="I1091" s="2" t="s">
        <v>29</v>
      </c>
      <c r="J1091" s="2">
        <v>4725.0</v>
      </c>
      <c r="K1091" s="2">
        <v>3210.0</v>
      </c>
      <c r="L1091" s="2">
        <v>1815.0</v>
      </c>
      <c r="M1091" s="2">
        <v>1746.0</v>
      </c>
      <c r="N1091" s="2">
        <v>741.0</v>
      </c>
      <c r="O1091" s="2">
        <v>1033.0</v>
      </c>
      <c r="P1091" s="2">
        <v>804.0</v>
      </c>
      <c r="Q1091" s="2">
        <v>0.0</v>
      </c>
      <c r="R1091" s="2">
        <v>8941.0</v>
      </c>
      <c r="S1091" s="2">
        <v>5947.0</v>
      </c>
      <c r="T1091" s="2">
        <v>2995.0</v>
      </c>
      <c r="U1091" s="2">
        <v>5416.0</v>
      </c>
      <c r="V1091" s="2">
        <v>531.0</v>
      </c>
      <c r="W1091" s="2">
        <v>3525.0</v>
      </c>
    </row>
    <row r="1092" ht="15.0" customHeight="1">
      <c r="A1092" s="2">
        <v>2025.0</v>
      </c>
      <c r="B1092" s="2" t="s">
        <v>53</v>
      </c>
      <c r="C1092" s="2">
        <v>11.0</v>
      </c>
      <c r="D1092" s="2" t="s">
        <v>76</v>
      </c>
      <c r="E1092" s="2" t="s">
        <v>63</v>
      </c>
      <c r="F1092" s="2" t="s">
        <v>26</v>
      </c>
      <c r="G1092" s="2" t="s">
        <v>36</v>
      </c>
      <c r="H1092" s="2" t="s">
        <v>35</v>
      </c>
      <c r="I1092" s="2" t="s">
        <v>30</v>
      </c>
      <c r="J1092" s="2">
        <v>851.0</v>
      </c>
      <c r="K1092" s="2">
        <v>497.0</v>
      </c>
      <c r="L1092" s="2">
        <v>236.0</v>
      </c>
      <c r="M1092" s="2">
        <v>223.0</v>
      </c>
      <c r="N1092" s="2">
        <v>98.0</v>
      </c>
      <c r="O1092" s="2">
        <v>139.0</v>
      </c>
      <c r="P1092" s="2">
        <v>114.0</v>
      </c>
      <c r="Q1092" s="2">
        <v>0.0</v>
      </c>
      <c r="R1092" s="2">
        <v>1362.0</v>
      </c>
      <c r="S1092" s="2">
        <v>817.0</v>
      </c>
      <c r="T1092" s="2">
        <v>545.0</v>
      </c>
      <c r="U1092" s="2">
        <v>817.0</v>
      </c>
      <c r="V1092" s="2">
        <v>0.0</v>
      </c>
      <c r="W1092" s="2">
        <v>545.0</v>
      </c>
    </row>
    <row r="1093" ht="15.0" customHeight="1">
      <c r="A1093" s="2">
        <v>2025.0</v>
      </c>
      <c r="B1093" s="2" t="s">
        <v>53</v>
      </c>
      <c r="C1093" s="2">
        <v>11.0</v>
      </c>
      <c r="D1093" s="2" t="s">
        <v>76</v>
      </c>
      <c r="E1093" s="2" t="s">
        <v>63</v>
      </c>
      <c r="F1093" s="2" t="s">
        <v>26</v>
      </c>
      <c r="G1093" s="2" t="s">
        <v>36</v>
      </c>
      <c r="H1093" s="2" t="s">
        <v>35</v>
      </c>
      <c r="I1093" s="2" t="s">
        <v>31</v>
      </c>
      <c r="J1093" s="2">
        <v>528.0</v>
      </c>
      <c r="K1093" s="2">
        <v>312.0</v>
      </c>
      <c r="L1093" s="2">
        <v>182.0</v>
      </c>
      <c r="M1093" s="2">
        <v>165.0</v>
      </c>
      <c r="N1093" s="2">
        <v>74.0</v>
      </c>
      <c r="O1093" s="2">
        <v>114.0</v>
      </c>
      <c r="P1093" s="2">
        <v>94.0</v>
      </c>
      <c r="Q1093" s="2">
        <v>0.0</v>
      </c>
      <c r="R1093" s="2">
        <v>961.0</v>
      </c>
      <c r="S1093" s="2">
        <v>4.0</v>
      </c>
      <c r="T1093" s="2">
        <v>957.0</v>
      </c>
      <c r="U1093" s="2">
        <v>4.0</v>
      </c>
      <c r="V1093" s="2">
        <v>0.0</v>
      </c>
      <c r="W1093" s="2">
        <v>957.0</v>
      </c>
    </row>
    <row r="1094" ht="15.0" customHeight="1">
      <c r="A1094" s="2">
        <v>2025.0</v>
      </c>
      <c r="B1094" s="2" t="s">
        <v>53</v>
      </c>
      <c r="C1094" s="2">
        <v>11.0</v>
      </c>
      <c r="D1094" s="2" t="s">
        <v>76</v>
      </c>
      <c r="E1094" s="2" t="s">
        <v>63</v>
      </c>
      <c r="F1094" s="2" t="s">
        <v>26</v>
      </c>
      <c r="G1094" s="2" t="s">
        <v>37</v>
      </c>
      <c r="H1094" s="2" t="s">
        <v>35</v>
      </c>
      <c r="I1094" s="2" t="s">
        <v>29</v>
      </c>
      <c r="J1094" s="2">
        <v>1092.0</v>
      </c>
      <c r="K1094" s="2">
        <v>545.0</v>
      </c>
      <c r="L1094" s="2">
        <v>228.0</v>
      </c>
      <c r="M1094" s="2">
        <v>210.0</v>
      </c>
      <c r="N1094" s="2">
        <v>153.0</v>
      </c>
      <c r="O1094" s="2">
        <v>361.0</v>
      </c>
      <c r="P1094" s="2">
        <v>300.0</v>
      </c>
      <c r="Q1094" s="2">
        <v>0.0</v>
      </c>
      <c r="R1094" s="2">
        <v>8192.0</v>
      </c>
      <c r="S1094" s="2">
        <v>5033.0</v>
      </c>
      <c r="T1094" s="2">
        <v>3159.0</v>
      </c>
      <c r="U1094" s="2">
        <v>5033.0</v>
      </c>
      <c r="V1094" s="2">
        <v>0.0</v>
      </c>
      <c r="W1094" s="2">
        <v>3159.0</v>
      </c>
    </row>
    <row r="1095" ht="15.0" customHeight="1">
      <c r="A1095" s="2">
        <v>2025.0</v>
      </c>
      <c r="B1095" s="2" t="s">
        <v>53</v>
      </c>
      <c r="C1095" s="2">
        <v>11.0</v>
      </c>
      <c r="D1095" s="2" t="s">
        <v>76</v>
      </c>
      <c r="E1095" s="2" t="s">
        <v>63</v>
      </c>
      <c r="F1095" s="2" t="s">
        <v>26</v>
      </c>
      <c r="G1095" s="2" t="s">
        <v>37</v>
      </c>
      <c r="H1095" s="2" t="s">
        <v>35</v>
      </c>
      <c r="I1095" s="2" t="s">
        <v>30</v>
      </c>
      <c r="J1095" s="2">
        <v>200.0</v>
      </c>
      <c r="K1095" s="2">
        <v>65.0</v>
      </c>
      <c r="L1095" s="2">
        <v>22.0</v>
      </c>
      <c r="M1095" s="2">
        <v>22.0</v>
      </c>
      <c r="N1095" s="2">
        <v>15.0</v>
      </c>
      <c r="O1095" s="2">
        <v>31.0</v>
      </c>
      <c r="P1095" s="2">
        <v>27.0</v>
      </c>
      <c r="Q1095" s="2">
        <v>0.0</v>
      </c>
      <c r="R1095" s="2">
        <v>743.0</v>
      </c>
      <c r="S1095" s="2">
        <v>390.0</v>
      </c>
      <c r="T1095" s="2">
        <v>353.0</v>
      </c>
      <c r="U1095" s="2">
        <v>390.0</v>
      </c>
      <c r="V1095" s="2">
        <v>0.0</v>
      </c>
      <c r="W1095" s="2">
        <v>353.0</v>
      </c>
    </row>
    <row r="1096" ht="15.0" customHeight="1">
      <c r="A1096" s="2">
        <v>2025.0</v>
      </c>
      <c r="B1096" s="2" t="s">
        <v>53</v>
      </c>
      <c r="C1096" s="2">
        <v>11.0</v>
      </c>
      <c r="D1096" s="2" t="s">
        <v>76</v>
      </c>
      <c r="E1096" s="2" t="s">
        <v>63</v>
      </c>
      <c r="F1096" s="2" t="s">
        <v>26</v>
      </c>
      <c r="G1096" s="2" t="s">
        <v>37</v>
      </c>
      <c r="H1096" s="2" t="s">
        <v>35</v>
      </c>
      <c r="I1096" s="2" t="s">
        <v>31</v>
      </c>
      <c r="J1096" s="2">
        <v>23.0</v>
      </c>
      <c r="K1096" s="2">
        <v>11.0</v>
      </c>
      <c r="L1096" s="2">
        <v>4.0</v>
      </c>
      <c r="M1096" s="2">
        <v>4.0</v>
      </c>
      <c r="N1096" s="2">
        <v>4.0</v>
      </c>
      <c r="O1096" s="2">
        <v>11.0</v>
      </c>
      <c r="P1096" s="2">
        <v>9.0</v>
      </c>
      <c r="Q1096" s="2">
        <v>0.0</v>
      </c>
      <c r="R1096" s="2">
        <v>302.0</v>
      </c>
      <c r="S1096" s="2">
        <v>0.0</v>
      </c>
      <c r="T1096" s="2">
        <v>302.0</v>
      </c>
      <c r="U1096" s="2">
        <v>0.0</v>
      </c>
      <c r="V1096" s="2">
        <v>0.0</v>
      </c>
      <c r="W1096" s="2">
        <v>302.0</v>
      </c>
    </row>
    <row r="1097" ht="15.0" customHeight="1">
      <c r="A1097" s="2">
        <v>2025.0</v>
      </c>
      <c r="B1097" s="2" t="s">
        <v>53</v>
      </c>
      <c r="C1097" s="2">
        <v>11.0</v>
      </c>
      <c r="D1097" s="2" t="s">
        <v>76</v>
      </c>
      <c r="E1097" s="2" t="s">
        <v>63</v>
      </c>
      <c r="F1097" s="2" t="s">
        <v>26</v>
      </c>
      <c r="G1097" s="2" t="s">
        <v>38</v>
      </c>
      <c r="H1097" s="2" t="s">
        <v>35</v>
      </c>
      <c r="I1097" s="2" t="s">
        <v>29</v>
      </c>
      <c r="J1097" s="2">
        <v>2343.0</v>
      </c>
      <c r="K1097" s="2">
        <v>1288.0</v>
      </c>
      <c r="L1097" s="2">
        <v>713.0</v>
      </c>
      <c r="M1097" s="2">
        <v>682.0</v>
      </c>
      <c r="N1097" s="2">
        <v>487.0</v>
      </c>
      <c r="O1097" s="2">
        <v>798.0</v>
      </c>
      <c r="P1097" s="2">
        <v>611.0</v>
      </c>
      <c r="Q1097" s="2">
        <v>5.0</v>
      </c>
      <c r="R1097" s="2">
        <v>9820.0</v>
      </c>
      <c r="S1097" s="2">
        <v>4258.0</v>
      </c>
      <c r="T1097" s="2">
        <v>5562.0</v>
      </c>
      <c r="U1097" s="2">
        <v>4249.0</v>
      </c>
      <c r="V1097" s="2">
        <v>9.0</v>
      </c>
      <c r="W1097" s="2">
        <v>5571.0</v>
      </c>
    </row>
    <row r="1098" ht="15.0" customHeight="1">
      <c r="A1098" s="2">
        <v>2025.0</v>
      </c>
      <c r="B1098" s="2" t="s">
        <v>53</v>
      </c>
      <c r="C1098" s="2">
        <v>11.0</v>
      </c>
      <c r="D1098" s="2" t="s">
        <v>76</v>
      </c>
      <c r="E1098" s="2" t="s">
        <v>63</v>
      </c>
      <c r="F1098" s="2" t="s">
        <v>26</v>
      </c>
      <c r="G1098" s="2" t="s">
        <v>38</v>
      </c>
      <c r="H1098" s="2" t="s">
        <v>35</v>
      </c>
      <c r="I1098" s="2" t="s">
        <v>30</v>
      </c>
      <c r="J1098" s="2">
        <v>1594.0</v>
      </c>
      <c r="K1098" s="2">
        <v>524.0</v>
      </c>
      <c r="L1098" s="2">
        <v>325.0</v>
      </c>
      <c r="M1098" s="2">
        <v>313.0</v>
      </c>
      <c r="N1098" s="2">
        <v>195.0</v>
      </c>
      <c r="O1098" s="2">
        <v>329.0</v>
      </c>
      <c r="P1098" s="2">
        <v>232.0</v>
      </c>
      <c r="Q1098" s="2">
        <v>2.0</v>
      </c>
      <c r="R1098" s="2">
        <v>3923.0</v>
      </c>
      <c r="S1098" s="2">
        <v>3225.0</v>
      </c>
      <c r="T1098" s="2">
        <v>698.0</v>
      </c>
      <c r="U1098" s="2">
        <v>3225.0</v>
      </c>
      <c r="V1098" s="2">
        <v>0.0</v>
      </c>
      <c r="W1098" s="2">
        <v>698.0</v>
      </c>
    </row>
    <row r="1099" ht="15.0" customHeight="1">
      <c r="A1099" s="2">
        <v>2025.0</v>
      </c>
      <c r="B1099" s="2" t="s">
        <v>53</v>
      </c>
      <c r="C1099" s="2">
        <v>11.0</v>
      </c>
      <c r="D1099" s="2" t="s">
        <v>76</v>
      </c>
      <c r="E1099" s="2" t="s">
        <v>63</v>
      </c>
      <c r="F1099" s="2" t="s">
        <v>26</v>
      </c>
      <c r="G1099" s="2" t="s">
        <v>38</v>
      </c>
      <c r="H1099" s="2" t="s">
        <v>35</v>
      </c>
      <c r="I1099" s="2" t="s">
        <v>31</v>
      </c>
      <c r="J1099" s="2">
        <v>600.0</v>
      </c>
      <c r="K1099" s="2">
        <v>325.0</v>
      </c>
      <c r="L1099" s="2">
        <v>170.0</v>
      </c>
      <c r="M1099" s="2">
        <v>147.0</v>
      </c>
      <c r="N1099" s="2">
        <v>105.0</v>
      </c>
      <c r="O1099" s="2">
        <v>182.0</v>
      </c>
      <c r="P1099" s="2">
        <v>130.0</v>
      </c>
      <c r="Q1099" s="2">
        <v>5.0</v>
      </c>
      <c r="R1099" s="2">
        <v>2219.0</v>
      </c>
      <c r="S1099" s="2">
        <v>8.0</v>
      </c>
      <c r="T1099" s="2">
        <v>2212.0</v>
      </c>
      <c r="U1099" s="2">
        <v>8.0</v>
      </c>
      <c r="V1099" s="2">
        <v>0.0</v>
      </c>
      <c r="W1099" s="2">
        <v>2212.0</v>
      </c>
    </row>
    <row r="1100" ht="15.0" customHeight="1">
      <c r="A1100" s="2">
        <v>2025.0</v>
      </c>
      <c r="B1100" s="2" t="s">
        <v>53</v>
      </c>
      <c r="C1100" s="2">
        <v>11.0</v>
      </c>
      <c r="D1100" s="2" t="s">
        <v>76</v>
      </c>
      <c r="E1100" s="2" t="s">
        <v>63</v>
      </c>
      <c r="F1100" s="2" t="s">
        <v>26</v>
      </c>
      <c r="G1100" s="2" t="s">
        <v>39</v>
      </c>
      <c r="H1100" s="2" t="s">
        <v>40</v>
      </c>
      <c r="I1100" s="2" t="s">
        <v>29</v>
      </c>
      <c r="J1100" s="2">
        <v>9239.0</v>
      </c>
      <c r="K1100" s="2">
        <v>5827.0</v>
      </c>
      <c r="L1100" s="2">
        <v>3196.0</v>
      </c>
      <c r="M1100" s="2">
        <v>3019.0</v>
      </c>
      <c r="N1100" s="2">
        <v>1149.0</v>
      </c>
      <c r="O1100" s="2">
        <v>1411.0</v>
      </c>
      <c r="P1100" s="2">
        <v>913.0</v>
      </c>
      <c r="Q1100" s="2">
        <v>0.0</v>
      </c>
      <c r="R1100" s="2">
        <v>13610.0</v>
      </c>
      <c r="S1100" s="2">
        <v>7656.0</v>
      </c>
      <c r="T1100" s="2">
        <v>5954.0</v>
      </c>
      <c r="U1100" s="2">
        <v>7630.0</v>
      </c>
      <c r="V1100" s="2">
        <v>26.0</v>
      </c>
      <c r="W1100" s="2">
        <v>5980.0</v>
      </c>
    </row>
    <row r="1101" ht="15.0" customHeight="1">
      <c r="A1101" s="2">
        <v>2025.0</v>
      </c>
      <c r="B1101" s="2" t="s">
        <v>53</v>
      </c>
      <c r="C1101" s="2">
        <v>11.0</v>
      </c>
      <c r="D1101" s="2" t="s">
        <v>76</v>
      </c>
      <c r="E1101" s="2" t="s">
        <v>63</v>
      </c>
      <c r="F1101" s="2" t="s">
        <v>26</v>
      </c>
      <c r="G1101" s="2" t="s">
        <v>39</v>
      </c>
      <c r="H1101" s="2" t="s">
        <v>40</v>
      </c>
      <c r="I1101" s="2" t="s">
        <v>30</v>
      </c>
      <c r="J1101" s="2">
        <v>2006.0</v>
      </c>
      <c r="K1101" s="2">
        <v>886.0</v>
      </c>
      <c r="L1101" s="2">
        <v>400.0</v>
      </c>
      <c r="M1101" s="2">
        <v>366.0</v>
      </c>
      <c r="N1101" s="2">
        <v>152.0</v>
      </c>
      <c r="O1101" s="2">
        <v>204.0</v>
      </c>
      <c r="P1101" s="2">
        <v>125.0</v>
      </c>
      <c r="Q1101" s="2">
        <v>0.0</v>
      </c>
      <c r="R1101" s="2">
        <v>1725.0</v>
      </c>
      <c r="S1101" s="2">
        <v>2050.0</v>
      </c>
      <c r="T1101" s="2">
        <v>-324.0</v>
      </c>
      <c r="U1101" s="2">
        <v>2050.0</v>
      </c>
      <c r="V1101" s="2">
        <v>0.0</v>
      </c>
      <c r="W1101" s="2">
        <v>-324.0</v>
      </c>
    </row>
    <row r="1102" ht="15.0" customHeight="1">
      <c r="A1102" s="2">
        <v>2025.0</v>
      </c>
      <c r="B1102" s="2" t="s">
        <v>53</v>
      </c>
      <c r="C1102" s="2">
        <v>11.0</v>
      </c>
      <c r="D1102" s="2" t="s">
        <v>76</v>
      </c>
      <c r="E1102" s="2" t="s">
        <v>63</v>
      </c>
      <c r="F1102" s="2" t="s">
        <v>26</v>
      </c>
      <c r="G1102" s="2" t="s">
        <v>39</v>
      </c>
      <c r="H1102" s="2" t="s">
        <v>40</v>
      </c>
      <c r="I1102" s="2" t="s">
        <v>31</v>
      </c>
      <c r="J1102" s="2">
        <v>2686.0</v>
      </c>
      <c r="K1102" s="2">
        <v>1629.0</v>
      </c>
      <c r="L1102" s="2">
        <v>632.0</v>
      </c>
      <c r="M1102" s="2">
        <v>528.0</v>
      </c>
      <c r="N1102" s="2">
        <v>163.0</v>
      </c>
      <c r="O1102" s="2">
        <v>196.0</v>
      </c>
      <c r="P1102" s="2">
        <v>126.0</v>
      </c>
      <c r="Q1102" s="2">
        <v>0.0</v>
      </c>
      <c r="R1102" s="2">
        <v>1875.0</v>
      </c>
      <c r="S1102" s="2">
        <v>10.0</v>
      </c>
      <c r="T1102" s="2">
        <v>1864.0</v>
      </c>
      <c r="U1102" s="2">
        <v>10.0</v>
      </c>
      <c r="V1102" s="2">
        <v>0.0</v>
      </c>
      <c r="W1102" s="2">
        <v>1864.0</v>
      </c>
    </row>
    <row r="1103" ht="15.0" customHeight="1">
      <c r="A1103" s="2">
        <v>2025.0</v>
      </c>
      <c r="B1103" s="2" t="s">
        <v>53</v>
      </c>
      <c r="C1103" s="2">
        <v>11.0</v>
      </c>
      <c r="D1103" s="2" t="s">
        <v>76</v>
      </c>
      <c r="E1103" s="2" t="s">
        <v>63</v>
      </c>
      <c r="F1103" s="2" t="s">
        <v>26</v>
      </c>
      <c r="G1103" s="2" t="s">
        <v>41</v>
      </c>
      <c r="H1103" s="2" t="s">
        <v>42</v>
      </c>
      <c r="I1103" s="2" t="s">
        <v>29</v>
      </c>
      <c r="J1103" s="2">
        <v>18010.0</v>
      </c>
      <c r="K1103" s="2">
        <v>9696.0</v>
      </c>
      <c r="L1103" s="2">
        <v>5398.0</v>
      </c>
      <c r="M1103" s="2">
        <v>5080.0</v>
      </c>
      <c r="N1103" s="2">
        <v>2788.0</v>
      </c>
      <c r="O1103" s="2">
        <v>3592.0</v>
      </c>
      <c r="P1103" s="2">
        <v>2959.0</v>
      </c>
      <c r="Q1103" s="2">
        <v>7.0</v>
      </c>
      <c r="R1103" s="2">
        <v>24059.0</v>
      </c>
      <c r="S1103" s="2">
        <v>14995.0</v>
      </c>
      <c r="T1103" s="2">
        <v>9064.0</v>
      </c>
      <c r="U1103" s="2">
        <v>14564.0</v>
      </c>
      <c r="V1103" s="2">
        <v>431.0</v>
      </c>
      <c r="W1103" s="2">
        <v>9496.0</v>
      </c>
    </row>
    <row r="1104" ht="15.0" customHeight="1">
      <c r="A1104" s="2">
        <v>2025.0</v>
      </c>
      <c r="B1104" s="2" t="s">
        <v>53</v>
      </c>
      <c r="C1104" s="2">
        <v>11.0</v>
      </c>
      <c r="D1104" s="2" t="s">
        <v>76</v>
      </c>
      <c r="E1104" s="2" t="s">
        <v>63</v>
      </c>
      <c r="F1104" s="2" t="s">
        <v>26</v>
      </c>
      <c r="G1104" s="2" t="s">
        <v>41</v>
      </c>
      <c r="H1104" s="2" t="s">
        <v>42</v>
      </c>
      <c r="I1104" s="2" t="s">
        <v>30</v>
      </c>
      <c r="J1104" s="2">
        <v>9732.0</v>
      </c>
      <c r="K1104" s="2">
        <v>3780.0</v>
      </c>
      <c r="L1104" s="2">
        <v>2139.0</v>
      </c>
      <c r="M1104" s="2">
        <v>2021.0</v>
      </c>
      <c r="N1104" s="2">
        <v>1126.0</v>
      </c>
      <c r="O1104" s="2">
        <v>1379.0</v>
      </c>
      <c r="P1104" s="2">
        <v>1140.0</v>
      </c>
      <c r="Q1104" s="2">
        <v>1.0</v>
      </c>
      <c r="R1104" s="2">
        <v>8800.0</v>
      </c>
      <c r="S1104" s="2">
        <v>7494.0</v>
      </c>
      <c r="T1104" s="2">
        <v>1307.0</v>
      </c>
      <c r="U1104" s="2">
        <v>7494.0</v>
      </c>
      <c r="V1104" s="2">
        <v>0.0</v>
      </c>
      <c r="W1104" s="2">
        <v>1307.0</v>
      </c>
    </row>
    <row r="1105" ht="15.0" customHeight="1">
      <c r="A1105" s="2">
        <v>2025.0</v>
      </c>
      <c r="B1105" s="2" t="s">
        <v>53</v>
      </c>
      <c r="C1105" s="2">
        <v>11.0</v>
      </c>
      <c r="D1105" s="2" t="s">
        <v>76</v>
      </c>
      <c r="E1105" s="2" t="s">
        <v>63</v>
      </c>
      <c r="F1105" s="2" t="s">
        <v>26</v>
      </c>
      <c r="G1105" s="2" t="s">
        <v>41</v>
      </c>
      <c r="H1105" s="2" t="s">
        <v>42</v>
      </c>
      <c r="I1105" s="2" t="s">
        <v>31</v>
      </c>
      <c r="J1105" s="2">
        <v>15098.0</v>
      </c>
      <c r="K1105" s="2">
        <v>7871.0</v>
      </c>
      <c r="L1105" s="2">
        <v>5893.0</v>
      </c>
      <c r="M1105" s="2">
        <v>5297.0</v>
      </c>
      <c r="N1105" s="2">
        <v>2774.0</v>
      </c>
      <c r="O1105" s="2">
        <v>3524.0</v>
      </c>
      <c r="P1105" s="2">
        <v>2938.0</v>
      </c>
      <c r="Q1105" s="2">
        <v>4.0</v>
      </c>
      <c r="R1105" s="2">
        <v>23893.0</v>
      </c>
      <c r="S1105" s="2">
        <v>771.0</v>
      </c>
      <c r="T1105" s="2">
        <v>23121.0</v>
      </c>
      <c r="U1105" s="2">
        <v>771.0</v>
      </c>
      <c r="V1105" s="2">
        <v>0.0</v>
      </c>
      <c r="W1105" s="2">
        <v>23121.0</v>
      </c>
    </row>
    <row r="1106" ht="15.0" customHeight="1">
      <c r="A1106" s="2">
        <v>2025.0</v>
      </c>
      <c r="B1106" s="2" t="s">
        <v>53</v>
      </c>
      <c r="C1106" s="2">
        <v>11.0</v>
      </c>
      <c r="D1106" s="2" t="s">
        <v>76</v>
      </c>
      <c r="E1106" s="2" t="s">
        <v>63</v>
      </c>
      <c r="F1106" s="2" t="s">
        <v>26</v>
      </c>
      <c r="G1106" s="2" t="s">
        <v>43</v>
      </c>
      <c r="H1106" s="2" t="s">
        <v>42</v>
      </c>
      <c r="I1106" s="2" t="s">
        <v>29</v>
      </c>
      <c r="J1106" s="2">
        <v>2870.0</v>
      </c>
      <c r="K1106" s="2">
        <v>1294.0</v>
      </c>
      <c r="L1106" s="2">
        <v>630.0</v>
      </c>
      <c r="M1106" s="2">
        <v>573.0</v>
      </c>
      <c r="N1106" s="2">
        <v>233.0</v>
      </c>
      <c r="O1106" s="2">
        <v>422.0</v>
      </c>
      <c r="P1106" s="2">
        <v>313.0</v>
      </c>
      <c r="Q1106" s="2">
        <v>0.0</v>
      </c>
      <c r="R1106" s="2">
        <v>9858.0</v>
      </c>
      <c r="S1106" s="2">
        <v>7968.0</v>
      </c>
      <c r="T1106" s="2">
        <v>1890.0</v>
      </c>
      <c r="U1106" s="2">
        <v>6996.0</v>
      </c>
      <c r="V1106" s="2">
        <v>972.0</v>
      </c>
      <c r="W1106" s="2">
        <v>2862.0</v>
      </c>
    </row>
    <row r="1107" ht="15.0" customHeight="1">
      <c r="A1107" s="2">
        <v>2025.0</v>
      </c>
      <c r="B1107" s="2" t="s">
        <v>53</v>
      </c>
      <c r="C1107" s="2">
        <v>11.0</v>
      </c>
      <c r="D1107" s="2" t="s">
        <v>76</v>
      </c>
      <c r="E1107" s="2" t="s">
        <v>63</v>
      </c>
      <c r="F1107" s="2" t="s">
        <v>26</v>
      </c>
      <c r="G1107" s="2" t="s">
        <v>43</v>
      </c>
      <c r="H1107" s="2" t="s">
        <v>42</v>
      </c>
      <c r="I1107" s="2" t="s">
        <v>30</v>
      </c>
      <c r="J1107" s="2">
        <v>328.0</v>
      </c>
      <c r="K1107" s="2">
        <v>130.0</v>
      </c>
      <c r="L1107" s="2">
        <v>55.0</v>
      </c>
      <c r="M1107" s="2">
        <v>54.0</v>
      </c>
      <c r="N1107" s="2">
        <v>24.0</v>
      </c>
      <c r="O1107" s="2">
        <v>62.0</v>
      </c>
      <c r="P1107" s="2">
        <v>48.0</v>
      </c>
      <c r="Q1107" s="2">
        <v>0.0</v>
      </c>
      <c r="R1107" s="2">
        <v>1813.0</v>
      </c>
      <c r="S1107" s="2">
        <v>405.0</v>
      </c>
      <c r="T1107" s="2">
        <v>1408.0</v>
      </c>
      <c r="U1107" s="2">
        <v>405.0</v>
      </c>
      <c r="V1107" s="2">
        <v>0.0</v>
      </c>
      <c r="W1107" s="2">
        <v>1408.0</v>
      </c>
    </row>
    <row r="1108" ht="15.0" customHeight="1">
      <c r="A1108" s="2">
        <v>2025.0</v>
      </c>
      <c r="B1108" s="2" t="s">
        <v>53</v>
      </c>
      <c r="C1108" s="2">
        <v>11.0</v>
      </c>
      <c r="D1108" s="2" t="s">
        <v>76</v>
      </c>
      <c r="E1108" s="2" t="s">
        <v>63</v>
      </c>
      <c r="F1108" s="2" t="s">
        <v>26</v>
      </c>
      <c r="G1108" s="2" t="s">
        <v>43</v>
      </c>
      <c r="H1108" s="2" t="s">
        <v>42</v>
      </c>
      <c r="I1108" s="2" t="s">
        <v>31</v>
      </c>
      <c r="J1108" s="2">
        <v>291.0</v>
      </c>
      <c r="K1108" s="2">
        <v>235.0</v>
      </c>
      <c r="L1108" s="2">
        <v>128.0</v>
      </c>
      <c r="M1108" s="2">
        <v>97.0</v>
      </c>
      <c r="N1108" s="2">
        <v>45.0</v>
      </c>
      <c r="O1108" s="2">
        <v>86.0</v>
      </c>
      <c r="P1108" s="2">
        <v>71.0</v>
      </c>
      <c r="Q1108" s="2">
        <v>0.0</v>
      </c>
      <c r="R1108" s="2">
        <v>2596.0</v>
      </c>
      <c r="S1108" s="2">
        <v>17.0</v>
      </c>
      <c r="T1108" s="2">
        <v>2579.0</v>
      </c>
      <c r="U1108" s="2">
        <v>17.0</v>
      </c>
      <c r="V1108" s="2">
        <v>0.0</v>
      </c>
      <c r="W1108" s="2">
        <v>2579.0</v>
      </c>
    </row>
    <row r="1109" ht="15.0" customHeight="1">
      <c r="A1109" s="2">
        <v>2025.0</v>
      </c>
      <c r="B1109" s="2" t="s">
        <v>53</v>
      </c>
      <c r="C1109" s="2">
        <v>11.0</v>
      </c>
      <c r="D1109" s="2" t="s">
        <v>76</v>
      </c>
      <c r="E1109" s="2" t="s">
        <v>63</v>
      </c>
      <c r="F1109" s="2" t="s">
        <v>26</v>
      </c>
      <c r="G1109" s="2" t="s">
        <v>44</v>
      </c>
      <c r="H1109" s="2" t="s">
        <v>45</v>
      </c>
      <c r="I1109" s="2" t="s">
        <v>29</v>
      </c>
      <c r="J1109" s="2">
        <v>6310.0</v>
      </c>
      <c r="K1109" s="2">
        <v>3183.0</v>
      </c>
      <c r="L1109" s="2">
        <v>1012.0</v>
      </c>
      <c r="M1109" s="2">
        <v>961.0</v>
      </c>
      <c r="N1109" s="2">
        <v>846.0</v>
      </c>
      <c r="O1109" s="2">
        <v>1603.0</v>
      </c>
      <c r="P1109" s="2">
        <v>1257.0</v>
      </c>
      <c r="Q1109" s="2">
        <v>652.0</v>
      </c>
      <c r="R1109" s="2">
        <v>46739.0</v>
      </c>
      <c r="S1109" s="2">
        <v>31419.0</v>
      </c>
      <c r="T1109" s="2">
        <v>15320.0</v>
      </c>
      <c r="U1109" s="2">
        <v>29196.0</v>
      </c>
      <c r="V1109" s="2">
        <v>2223.0</v>
      </c>
      <c r="W1109" s="2">
        <v>17543.0</v>
      </c>
    </row>
    <row r="1110" ht="15.0" customHeight="1">
      <c r="A1110" s="2">
        <v>2025.0</v>
      </c>
      <c r="B1110" s="2" t="s">
        <v>53</v>
      </c>
      <c r="C1110" s="2">
        <v>11.0</v>
      </c>
      <c r="D1110" s="2" t="s">
        <v>76</v>
      </c>
      <c r="E1110" s="2" t="s">
        <v>63</v>
      </c>
      <c r="F1110" s="2" t="s">
        <v>26</v>
      </c>
      <c r="G1110" s="2" t="s">
        <v>44</v>
      </c>
      <c r="H1110" s="2" t="s">
        <v>45</v>
      </c>
      <c r="I1110" s="2" t="s">
        <v>30</v>
      </c>
      <c r="J1110" s="2">
        <v>2549.0</v>
      </c>
      <c r="K1110" s="2">
        <v>1116.0</v>
      </c>
      <c r="L1110" s="2">
        <v>300.0</v>
      </c>
      <c r="M1110" s="2">
        <v>283.0</v>
      </c>
      <c r="N1110" s="2">
        <v>220.0</v>
      </c>
      <c r="O1110" s="2">
        <v>377.0</v>
      </c>
      <c r="P1110" s="2">
        <v>305.0</v>
      </c>
      <c r="Q1110" s="2">
        <v>130.0</v>
      </c>
      <c r="R1110" s="2">
        <v>10068.0</v>
      </c>
      <c r="S1110" s="2">
        <v>5907.0</v>
      </c>
      <c r="T1110" s="2">
        <v>4162.0</v>
      </c>
      <c r="U1110" s="2">
        <v>5907.0</v>
      </c>
      <c r="V1110" s="2">
        <v>0.0</v>
      </c>
      <c r="W1110" s="2">
        <v>4162.0</v>
      </c>
    </row>
    <row r="1111" ht="15.0" customHeight="1">
      <c r="A1111" s="2">
        <v>2025.0</v>
      </c>
      <c r="B1111" s="2" t="s">
        <v>53</v>
      </c>
      <c r="C1111" s="2">
        <v>11.0</v>
      </c>
      <c r="D1111" s="2" t="s">
        <v>76</v>
      </c>
      <c r="E1111" s="2" t="s">
        <v>63</v>
      </c>
      <c r="F1111" s="2" t="s">
        <v>26</v>
      </c>
      <c r="G1111" s="2" t="s">
        <v>44</v>
      </c>
      <c r="H1111" s="2" t="s">
        <v>45</v>
      </c>
      <c r="I1111" s="2" t="s">
        <v>31</v>
      </c>
      <c r="J1111" s="2">
        <v>1026.0</v>
      </c>
      <c r="K1111" s="2">
        <v>587.0</v>
      </c>
      <c r="L1111" s="2">
        <v>218.0</v>
      </c>
      <c r="M1111" s="2">
        <v>178.0</v>
      </c>
      <c r="N1111" s="2">
        <v>156.0</v>
      </c>
      <c r="O1111" s="2">
        <v>275.0</v>
      </c>
      <c r="P1111" s="2">
        <v>207.0</v>
      </c>
      <c r="Q1111" s="2">
        <v>114.0</v>
      </c>
      <c r="R1111" s="2">
        <v>7756.0</v>
      </c>
      <c r="S1111" s="2">
        <v>313.0</v>
      </c>
      <c r="T1111" s="2">
        <v>7442.0</v>
      </c>
      <c r="U1111" s="2">
        <v>313.0</v>
      </c>
      <c r="V1111" s="2">
        <v>0.0</v>
      </c>
      <c r="W1111" s="2">
        <v>7442.0</v>
      </c>
    </row>
    <row r="1112" ht="15.0" customHeight="1">
      <c r="A1112" s="2">
        <v>2025.0</v>
      </c>
      <c r="B1112" s="2" t="s">
        <v>53</v>
      </c>
      <c r="C1112" s="2">
        <v>11.0</v>
      </c>
      <c r="D1112" s="2" t="s">
        <v>76</v>
      </c>
      <c r="E1112" s="2" t="s">
        <v>63</v>
      </c>
      <c r="F1112" s="2" t="s">
        <v>26</v>
      </c>
      <c r="G1112" s="2" t="s">
        <v>46</v>
      </c>
      <c r="H1112" s="2" t="s">
        <v>47</v>
      </c>
      <c r="I1112" s="2" t="s">
        <v>29</v>
      </c>
      <c r="J1112" s="2">
        <v>4233.0</v>
      </c>
      <c r="K1112" s="2">
        <v>2019.0</v>
      </c>
      <c r="L1112" s="2">
        <v>815.0</v>
      </c>
      <c r="M1112" s="2">
        <v>768.0</v>
      </c>
      <c r="N1112" s="2">
        <v>743.0</v>
      </c>
      <c r="O1112" s="2">
        <v>1450.0</v>
      </c>
      <c r="P1112" s="2">
        <v>908.0</v>
      </c>
      <c r="Q1112" s="2">
        <v>72.0</v>
      </c>
      <c r="R1112" s="2">
        <v>35416.0</v>
      </c>
      <c r="S1112" s="2">
        <v>20827.0</v>
      </c>
      <c r="T1112" s="2">
        <v>14589.0</v>
      </c>
      <c r="U1112" s="2">
        <v>20763.0</v>
      </c>
      <c r="V1112" s="2">
        <v>64.0</v>
      </c>
      <c r="W1112" s="2">
        <v>14653.0</v>
      </c>
    </row>
    <row r="1113" ht="15.0" customHeight="1">
      <c r="A1113" s="2">
        <v>2025.0</v>
      </c>
      <c r="B1113" s="2" t="s">
        <v>53</v>
      </c>
      <c r="C1113" s="2">
        <v>11.0</v>
      </c>
      <c r="D1113" s="2" t="s">
        <v>76</v>
      </c>
      <c r="E1113" s="2" t="s">
        <v>63</v>
      </c>
      <c r="F1113" s="2" t="s">
        <v>26</v>
      </c>
      <c r="G1113" s="2" t="s">
        <v>46</v>
      </c>
      <c r="H1113" s="2" t="s">
        <v>47</v>
      </c>
      <c r="I1113" s="2" t="s">
        <v>30</v>
      </c>
      <c r="J1113" s="2">
        <v>739.0</v>
      </c>
      <c r="K1113" s="2">
        <v>295.0</v>
      </c>
      <c r="L1113" s="2">
        <v>105.0</v>
      </c>
      <c r="M1113" s="2">
        <v>98.0</v>
      </c>
      <c r="N1113" s="2">
        <v>91.0</v>
      </c>
      <c r="O1113" s="2">
        <v>177.0</v>
      </c>
      <c r="P1113" s="2">
        <v>125.0</v>
      </c>
      <c r="Q1113" s="2">
        <v>9.0</v>
      </c>
      <c r="R1113" s="2">
        <v>5501.0</v>
      </c>
      <c r="S1113" s="2">
        <v>2205.0</v>
      </c>
      <c r="T1113" s="2">
        <v>3296.0</v>
      </c>
      <c r="U1113" s="2">
        <v>2205.0</v>
      </c>
      <c r="V1113" s="2">
        <v>0.0</v>
      </c>
      <c r="W1113" s="2">
        <v>3296.0</v>
      </c>
    </row>
    <row r="1114" ht="15.0" customHeight="1">
      <c r="A1114" s="2">
        <v>2025.0</v>
      </c>
      <c r="B1114" s="2" t="s">
        <v>53</v>
      </c>
      <c r="C1114" s="2">
        <v>11.0</v>
      </c>
      <c r="D1114" s="2" t="s">
        <v>76</v>
      </c>
      <c r="E1114" s="2" t="s">
        <v>63</v>
      </c>
      <c r="F1114" s="2" t="s">
        <v>26</v>
      </c>
      <c r="G1114" s="2" t="s">
        <v>46</v>
      </c>
      <c r="H1114" s="2" t="s">
        <v>47</v>
      </c>
      <c r="I1114" s="2" t="s">
        <v>31</v>
      </c>
      <c r="J1114" s="2">
        <v>1584.0</v>
      </c>
      <c r="K1114" s="2">
        <v>792.0</v>
      </c>
      <c r="L1114" s="2">
        <v>186.0</v>
      </c>
      <c r="M1114" s="2">
        <v>137.0</v>
      </c>
      <c r="N1114" s="2">
        <v>128.0</v>
      </c>
      <c r="O1114" s="2">
        <v>242.0</v>
      </c>
      <c r="P1114" s="2">
        <v>150.0</v>
      </c>
      <c r="Q1114" s="2">
        <v>19.0</v>
      </c>
      <c r="R1114" s="2">
        <v>6631.0</v>
      </c>
      <c r="S1114" s="2">
        <v>525.0</v>
      </c>
      <c r="T1114" s="2">
        <v>6105.0</v>
      </c>
      <c r="U1114" s="2">
        <v>525.0</v>
      </c>
      <c r="V1114" s="2">
        <v>0.0</v>
      </c>
      <c r="W1114" s="2">
        <v>6105.0</v>
      </c>
    </row>
    <row r="1115" ht="15.0" customHeight="1">
      <c r="A1115" s="2">
        <v>2025.0</v>
      </c>
      <c r="B1115" s="2" t="s">
        <v>53</v>
      </c>
      <c r="C1115" s="2">
        <v>11.0</v>
      </c>
      <c r="D1115" s="2" t="s">
        <v>76</v>
      </c>
      <c r="E1115" s="2" t="s">
        <v>63</v>
      </c>
      <c r="F1115" s="2" t="s">
        <v>48</v>
      </c>
      <c r="G1115" s="2" t="s">
        <v>27</v>
      </c>
      <c r="H1115" s="2" t="s">
        <v>28</v>
      </c>
      <c r="I1115" s="2" t="s">
        <v>29</v>
      </c>
      <c r="J1115" s="2">
        <v>2546.0</v>
      </c>
      <c r="K1115" s="2">
        <v>1251.0</v>
      </c>
      <c r="L1115" s="2">
        <v>473.0</v>
      </c>
      <c r="M1115" s="2">
        <v>443.0</v>
      </c>
      <c r="N1115" s="2">
        <v>229.0</v>
      </c>
      <c r="O1115" s="2">
        <v>364.0</v>
      </c>
      <c r="P1115" s="2">
        <v>275.0</v>
      </c>
      <c r="Q1115" s="2">
        <v>0.0</v>
      </c>
      <c r="R1115" s="2">
        <v>9066.0</v>
      </c>
      <c r="S1115" s="2">
        <v>7259.0</v>
      </c>
      <c r="T1115" s="2">
        <v>1807.0</v>
      </c>
      <c r="U1115" s="2">
        <v>6810.0</v>
      </c>
      <c r="V1115" s="2">
        <v>449.0</v>
      </c>
      <c r="W1115" s="2">
        <v>2256.0</v>
      </c>
    </row>
    <row r="1116" ht="15.0" customHeight="1">
      <c r="A1116" s="2">
        <v>2025.0</v>
      </c>
      <c r="B1116" s="2" t="s">
        <v>53</v>
      </c>
      <c r="C1116" s="2">
        <v>11.0</v>
      </c>
      <c r="D1116" s="2" t="s">
        <v>76</v>
      </c>
      <c r="E1116" s="2" t="s">
        <v>63</v>
      </c>
      <c r="F1116" s="2" t="s">
        <v>48</v>
      </c>
      <c r="G1116" s="2" t="s">
        <v>27</v>
      </c>
      <c r="H1116" s="2" t="s">
        <v>28</v>
      </c>
      <c r="I1116" s="2" t="s">
        <v>30</v>
      </c>
      <c r="J1116" s="2">
        <v>5217.0</v>
      </c>
      <c r="K1116" s="2">
        <v>1675.0</v>
      </c>
      <c r="L1116" s="2">
        <v>919.0</v>
      </c>
      <c r="M1116" s="2">
        <v>870.0</v>
      </c>
      <c r="N1116" s="2">
        <v>489.0</v>
      </c>
      <c r="O1116" s="2">
        <v>694.0</v>
      </c>
      <c r="P1116" s="2">
        <v>551.0</v>
      </c>
      <c r="Q1116" s="2">
        <v>0.0</v>
      </c>
      <c r="R1116" s="2">
        <v>18816.0</v>
      </c>
      <c r="S1116" s="2">
        <v>10107.0</v>
      </c>
      <c r="T1116" s="2">
        <v>8709.0</v>
      </c>
      <c r="U1116" s="2">
        <v>10107.0</v>
      </c>
      <c r="V1116" s="2">
        <v>0.0</v>
      </c>
      <c r="W1116" s="2">
        <v>8709.0</v>
      </c>
    </row>
    <row r="1117" ht="15.0" customHeight="1">
      <c r="A1117" s="2">
        <v>2025.0</v>
      </c>
      <c r="B1117" s="2" t="s">
        <v>53</v>
      </c>
      <c r="C1117" s="2">
        <v>11.0</v>
      </c>
      <c r="D1117" s="2" t="s">
        <v>76</v>
      </c>
      <c r="E1117" s="2" t="s">
        <v>63</v>
      </c>
      <c r="F1117" s="2" t="s">
        <v>48</v>
      </c>
      <c r="G1117" s="2" t="s">
        <v>27</v>
      </c>
      <c r="H1117" s="2" t="s">
        <v>28</v>
      </c>
      <c r="I1117" s="2" t="s">
        <v>31</v>
      </c>
      <c r="J1117" s="2">
        <v>796.0</v>
      </c>
      <c r="K1117" s="2">
        <v>460.0</v>
      </c>
      <c r="L1117" s="2">
        <v>341.0</v>
      </c>
      <c r="M1117" s="2">
        <v>307.0</v>
      </c>
      <c r="N1117" s="2">
        <v>182.0</v>
      </c>
      <c r="O1117" s="2">
        <v>270.0</v>
      </c>
      <c r="P1117" s="2">
        <v>217.0</v>
      </c>
      <c r="Q1117" s="2">
        <v>0.0</v>
      </c>
      <c r="R1117" s="2">
        <v>7341.0</v>
      </c>
      <c r="S1117" s="2">
        <v>553.0</v>
      </c>
      <c r="T1117" s="2">
        <v>6789.0</v>
      </c>
      <c r="U1117" s="2">
        <v>553.0</v>
      </c>
      <c r="V1117" s="2">
        <v>0.0</v>
      </c>
      <c r="W1117" s="2">
        <v>6789.0</v>
      </c>
    </row>
    <row r="1118" ht="15.0" customHeight="1">
      <c r="A1118" s="2">
        <v>2025.0</v>
      </c>
      <c r="B1118" s="2" t="s">
        <v>53</v>
      </c>
      <c r="C1118" s="2">
        <v>11.0</v>
      </c>
      <c r="D1118" s="2" t="s">
        <v>76</v>
      </c>
      <c r="E1118" s="2" t="s">
        <v>63</v>
      </c>
      <c r="F1118" s="2" t="s">
        <v>48</v>
      </c>
      <c r="G1118" s="2" t="s">
        <v>32</v>
      </c>
      <c r="H1118" s="2" t="s">
        <v>28</v>
      </c>
      <c r="I1118" s="2" t="s">
        <v>29</v>
      </c>
      <c r="J1118" s="2">
        <v>369.0</v>
      </c>
      <c r="K1118" s="2">
        <v>203.0</v>
      </c>
      <c r="L1118" s="2">
        <v>99.0</v>
      </c>
      <c r="M1118" s="2">
        <v>85.0</v>
      </c>
      <c r="N1118" s="2">
        <v>30.0</v>
      </c>
      <c r="O1118" s="2">
        <v>43.0</v>
      </c>
      <c r="P1118" s="2">
        <v>40.0</v>
      </c>
      <c r="Q1118" s="2">
        <v>0.0</v>
      </c>
      <c r="R1118" s="2">
        <v>594.0</v>
      </c>
      <c r="S1118" s="2">
        <v>363.0</v>
      </c>
      <c r="T1118" s="2">
        <v>230.0</v>
      </c>
      <c r="U1118" s="2">
        <v>363.0</v>
      </c>
      <c r="V1118" s="2">
        <v>0.0</v>
      </c>
      <c r="W1118" s="2">
        <v>230.0</v>
      </c>
    </row>
    <row r="1119" ht="15.0" customHeight="1">
      <c r="A1119" s="2">
        <v>2025.0</v>
      </c>
      <c r="B1119" s="2" t="s">
        <v>53</v>
      </c>
      <c r="C1119" s="2">
        <v>11.0</v>
      </c>
      <c r="D1119" s="2" t="s">
        <v>76</v>
      </c>
      <c r="E1119" s="2" t="s">
        <v>63</v>
      </c>
      <c r="F1119" s="2" t="s">
        <v>48</v>
      </c>
      <c r="G1119" s="2" t="s">
        <v>32</v>
      </c>
      <c r="H1119" s="2" t="s">
        <v>28</v>
      </c>
      <c r="I1119" s="2" t="s">
        <v>30</v>
      </c>
      <c r="J1119" s="2">
        <v>303.0</v>
      </c>
      <c r="K1119" s="2">
        <v>98.0</v>
      </c>
      <c r="L1119" s="2">
        <v>43.0</v>
      </c>
      <c r="M1119" s="2">
        <v>37.0</v>
      </c>
      <c r="N1119" s="2">
        <v>17.0</v>
      </c>
      <c r="O1119" s="2">
        <v>21.0</v>
      </c>
      <c r="P1119" s="2">
        <v>19.0</v>
      </c>
      <c r="Q1119" s="2">
        <v>0.0</v>
      </c>
      <c r="R1119" s="2">
        <v>245.0</v>
      </c>
      <c r="S1119" s="2">
        <v>295.0</v>
      </c>
      <c r="T1119" s="2">
        <v>-51.0</v>
      </c>
      <c r="U1119" s="2">
        <v>295.0</v>
      </c>
      <c r="V1119" s="2">
        <v>0.0</v>
      </c>
      <c r="W1119" s="2">
        <v>-51.0</v>
      </c>
    </row>
    <row r="1120" ht="15.0" customHeight="1">
      <c r="A1120" s="2">
        <v>2025.0</v>
      </c>
      <c r="B1120" s="2" t="s">
        <v>53</v>
      </c>
      <c r="C1120" s="2">
        <v>11.0</v>
      </c>
      <c r="D1120" s="2" t="s">
        <v>76</v>
      </c>
      <c r="E1120" s="2" t="s">
        <v>63</v>
      </c>
      <c r="F1120" s="2" t="s">
        <v>48</v>
      </c>
      <c r="G1120" s="2" t="s">
        <v>32</v>
      </c>
      <c r="H1120" s="2" t="s">
        <v>28</v>
      </c>
      <c r="I1120" s="2" t="s">
        <v>31</v>
      </c>
      <c r="J1120" s="2">
        <v>467.0</v>
      </c>
      <c r="K1120" s="2">
        <v>201.0</v>
      </c>
      <c r="L1120" s="2">
        <v>114.0</v>
      </c>
      <c r="M1120" s="2">
        <v>105.0</v>
      </c>
      <c r="N1120" s="2">
        <v>26.0</v>
      </c>
      <c r="O1120" s="2">
        <v>39.0</v>
      </c>
      <c r="P1120" s="2">
        <v>32.0</v>
      </c>
      <c r="Q1120" s="2">
        <v>0.0</v>
      </c>
      <c r="R1120" s="2">
        <v>453.0</v>
      </c>
      <c r="S1120" s="2">
        <v>0.0</v>
      </c>
      <c r="T1120" s="2">
        <v>453.0</v>
      </c>
      <c r="U1120" s="2">
        <v>0.0</v>
      </c>
      <c r="V1120" s="2">
        <v>0.0</v>
      </c>
      <c r="W1120" s="2">
        <v>453.0</v>
      </c>
    </row>
    <row r="1121" ht="15.0" customHeight="1">
      <c r="A1121" s="2">
        <v>2025.0</v>
      </c>
      <c r="B1121" s="2" t="s">
        <v>53</v>
      </c>
      <c r="C1121" s="2">
        <v>11.0</v>
      </c>
      <c r="D1121" s="2" t="s">
        <v>76</v>
      </c>
      <c r="E1121" s="2" t="s">
        <v>63</v>
      </c>
      <c r="F1121" s="2" t="s">
        <v>48</v>
      </c>
      <c r="G1121" s="2" t="s">
        <v>33</v>
      </c>
      <c r="H1121" s="2" t="s">
        <v>28</v>
      </c>
      <c r="I1121" s="2" t="s">
        <v>29</v>
      </c>
      <c r="J1121" s="2">
        <v>344.0</v>
      </c>
      <c r="K1121" s="2">
        <v>203.0</v>
      </c>
      <c r="L1121" s="2">
        <v>77.0</v>
      </c>
      <c r="M1121" s="2">
        <v>73.0</v>
      </c>
      <c r="N1121" s="2">
        <v>16.0</v>
      </c>
      <c r="O1121" s="2">
        <v>18.0</v>
      </c>
      <c r="P1121" s="2">
        <v>12.0</v>
      </c>
      <c r="Q1121" s="2">
        <v>0.0</v>
      </c>
      <c r="R1121" s="2">
        <v>288.0</v>
      </c>
      <c r="S1121" s="2">
        <v>778.0</v>
      </c>
      <c r="T1121" s="2">
        <v>-491.0</v>
      </c>
      <c r="U1121" s="2">
        <v>748.0</v>
      </c>
      <c r="V1121" s="2">
        <v>30.0</v>
      </c>
      <c r="W1121" s="2">
        <v>-461.0</v>
      </c>
    </row>
    <row r="1122" ht="15.0" customHeight="1">
      <c r="A1122" s="2">
        <v>2025.0</v>
      </c>
      <c r="B1122" s="2" t="s">
        <v>53</v>
      </c>
      <c r="C1122" s="2">
        <v>11.0</v>
      </c>
      <c r="D1122" s="2" t="s">
        <v>76</v>
      </c>
      <c r="E1122" s="2" t="s">
        <v>63</v>
      </c>
      <c r="F1122" s="2" t="s">
        <v>48</v>
      </c>
      <c r="G1122" s="2" t="s">
        <v>33</v>
      </c>
      <c r="H1122" s="2" t="s">
        <v>28</v>
      </c>
      <c r="I1122" s="2" t="s">
        <v>30</v>
      </c>
      <c r="J1122" s="2">
        <v>348.0</v>
      </c>
      <c r="K1122" s="2">
        <v>147.0</v>
      </c>
      <c r="L1122" s="2">
        <v>34.0</v>
      </c>
      <c r="M1122" s="2">
        <v>30.0</v>
      </c>
      <c r="N1122" s="2">
        <v>6.0</v>
      </c>
      <c r="O1122" s="2">
        <v>6.0</v>
      </c>
      <c r="P1122" s="2">
        <v>3.0</v>
      </c>
      <c r="Q1122" s="2">
        <v>0.0</v>
      </c>
      <c r="R1122" s="2">
        <v>80.0</v>
      </c>
      <c r="S1122" s="2">
        <v>515.0</v>
      </c>
      <c r="T1122" s="2">
        <v>-435.0</v>
      </c>
      <c r="U1122" s="2">
        <v>515.0</v>
      </c>
      <c r="V1122" s="2">
        <v>0.0</v>
      </c>
      <c r="W1122" s="2">
        <v>-435.0</v>
      </c>
    </row>
    <row r="1123" ht="15.0" customHeight="1">
      <c r="A1123" s="2">
        <v>2025.0</v>
      </c>
      <c r="B1123" s="2" t="s">
        <v>53</v>
      </c>
      <c r="C1123" s="2">
        <v>11.0</v>
      </c>
      <c r="D1123" s="2" t="s">
        <v>76</v>
      </c>
      <c r="E1123" s="2" t="s">
        <v>63</v>
      </c>
      <c r="F1123" s="2" t="s">
        <v>48</v>
      </c>
      <c r="G1123" s="2" t="s">
        <v>33</v>
      </c>
      <c r="H1123" s="2" t="s">
        <v>28</v>
      </c>
      <c r="I1123" s="2" t="s">
        <v>31</v>
      </c>
      <c r="J1123" s="2">
        <v>36.0</v>
      </c>
      <c r="K1123" s="2">
        <v>11.0</v>
      </c>
      <c r="L1123" s="2">
        <v>4.0</v>
      </c>
      <c r="M1123" s="2">
        <v>4.0</v>
      </c>
      <c r="N1123" s="2">
        <v>1.0</v>
      </c>
      <c r="O1123" s="2">
        <v>1.0</v>
      </c>
      <c r="P1123" s="2">
        <v>1.0</v>
      </c>
      <c r="Q1123" s="2">
        <v>0.0</v>
      </c>
      <c r="R1123" s="2">
        <v>27.0</v>
      </c>
      <c r="S1123" s="2">
        <v>0.0</v>
      </c>
      <c r="T1123" s="2">
        <v>27.0</v>
      </c>
      <c r="U1123" s="2">
        <v>0.0</v>
      </c>
      <c r="V1123" s="2">
        <v>0.0</v>
      </c>
      <c r="W1123" s="2">
        <v>27.0</v>
      </c>
    </row>
    <row r="1124" ht="15.0" customHeight="1">
      <c r="A1124" s="2">
        <v>2025.0</v>
      </c>
      <c r="B1124" s="2" t="s">
        <v>53</v>
      </c>
      <c r="C1124" s="2">
        <v>11.0</v>
      </c>
      <c r="D1124" s="2" t="s">
        <v>76</v>
      </c>
      <c r="E1124" s="2" t="s">
        <v>63</v>
      </c>
      <c r="F1124" s="2" t="s">
        <v>48</v>
      </c>
      <c r="G1124" s="2" t="s">
        <v>34</v>
      </c>
      <c r="H1124" s="2" t="s">
        <v>35</v>
      </c>
      <c r="I1124" s="2" t="s">
        <v>29</v>
      </c>
      <c r="J1124" s="2">
        <v>33632.0</v>
      </c>
      <c r="K1124" s="2">
        <v>20665.0</v>
      </c>
      <c r="L1124" s="2">
        <v>8541.0</v>
      </c>
      <c r="M1124" s="2">
        <v>8121.0</v>
      </c>
      <c r="N1124" s="2">
        <v>3371.0</v>
      </c>
      <c r="O1124" s="2">
        <v>4622.0</v>
      </c>
      <c r="P1124" s="2">
        <v>3888.0</v>
      </c>
      <c r="Q1124" s="2">
        <v>0.0</v>
      </c>
      <c r="R1124" s="2">
        <v>59705.0</v>
      </c>
      <c r="S1124" s="2">
        <v>41525.0</v>
      </c>
      <c r="T1124" s="2">
        <v>18180.0</v>
      </c>
      <c r="U1124" s="2">
        <v>39997.0</v>
      </c>
      <c r="V1124" s="2">
        <v>1528.0</v>
      </c>
      <c r="W1124" s="2">
        <v>19708.0</v>
      </c>
    </row>
    <row r="1125" ht="15.0" customHeight="1">
      <c r="A1125" s="2">
        <v>2025.0</v>
      </c>
      <c r="B1125" s="2" t="s">
        <v>53</v>
      </c>
      <c r="C1125" s="2">
        <v>11.0</v>
      </c>
      <c r="D1125" s="2" t="s">
        <v>76</v>
      </c>
      <c r="E1125" s="2" t="s">
        <v>63</v>
      </c>
      <c r="F1125" s="2" t="s">
        <v>48</v>
      </c>
      <c r="G1125" s="2" t="s">
        <v>34</v>
      </c>
      <c r="H1125" s="2" t="s">
        <v>35</v>
      </c>
      <c r="I1125" s="2" t="s">
        <v>30</v>
      </c>
      <c r="J1125" s="2">
        <v>19853.0</v>
      </c>
      <c r="K1125" s="2">
        <v>9355.0</v>
      </c>
      <c r="L1125" s="2">
        <v>3507.0</v>
      </c>
      <c r="M1125" s="2">
        <v>3279.0</v>
      </c>
      <c r="N1125" s="2">
        <v>1320.0</v>
      </c>
      <c r="O1125" s="2">
        <v>1775.0</v>
      </c>
      <c r="P1125" s="2">
        <v>1451.0</v>
      </c>
      <c r="Q1125" s="2">
        <v>0.0</v>
      </c>
      <c r="R1125" s="2">
        <v>23064.0</v>
      </c>
      <c r="S1125" s="2">
        <v>15746.0</v>
      </c>
      <c r="T1125" s="2">
        <v>7317.0</v>
      </c>
      <c r="U1125" s="2">
        <v>15746.0</v>
      </c>
      <c r="V1125" s="2">
        <v>0.0</v>
      </c>
      <c r="W1125" s="2">
        <v>7317.0</v>
      </c>
    </row>
    <row r="1126" ht="15.0" customHeight="1">
      <c r="A1126" s="2">
        <v>2025.0</v>
      </c>
      <c r="B1126" s="2" t="s">
        <v>53</v>
      </c>
      <c r="C1126" s="2">
        <v>11.0</v>
      </c>
      <c r="D1126" s="2" t="s">
        <v>76</v>
      </c>
      <c r="E1126" s="2" t="s">
        <v>63</v>
      </c>
      <c r="F1126" s="2" t="s">
        <v>48</v>
      </c>
      <c r="G1126" s="2" t="s">
        <v>34</v>
      </c>
      <c r="H1126" s="2" t="s">
        <v>35</v>
      </c>
      <c r="I1126" s="2" t="s">
        <v>31</v>
      </c>
      <c r="J1126" s="2">
        <v>978.0</v>
      </c>
      <c r="K1126" s="2">
        <v>549.0</v>
      </c>
      <c r="L1126" s="2">
        <v>445.0</v>
      </c>
      <c r="M1126" s="2">
        <v>355.0</v>
      </c>
      <c r="N1126" s="2">
        <v>144.0</v>
      </c>
      <c r="O1126" s="2">
        <v>241.0</v>
      </c>
      <c r="P1126" s="2">
        <v>209.0</v>
      </c>
      <c r="Q1126" s="2">
        <v>0.0</v>
      </c>
      <c r="R1126" s="2">
        <v>3618.0</v>
      </c>
      <c r="S1126" s="2">
        <v>0.0</v>
      </c>
      <c r="T1126" s="2">
        <v>3618.0</v>
      </c>
      <c r="U1126" s="2">
        <v>0.0</v>
      </c>
      <c r="V1126" s="2">
        <v>0.0</v>
      </c>
      <c r="W1126" s="2">
        <v>3618.0</v>
      </c>
    </row>
    <row r="1127" ht="15.0" customHeight="1">
      <c r="A1127" s="2">
        <v>2025.0</v>
      </c>
      <c r="B1127" s="2" t="s">
        <v>53</v>
      </c>
      <c r="C1127" s="2">
        <v>11.0</v>
      </c>
      <c r="D1127" s="2" t="s">
        <v>76</v>
      </c>
      <c r="E1127" s="2" t="s">
        <v>63</v>
      </c>
      <c r="F1127" s="2" t="s">
        <v>48</v>
      </c>
      <c r="G1127" s="2" t="s">
        <v>36</v>
      </c>
      <c r="H1127" s="2" t="s">
        <v>35</v>
      </c>
      <c r="I1127" s="2" t="s">
        <v>29</v>
      </c>
      <c r="J1127" s="2">
        <v>10126.0</v>
      </c>
      <c r="K1127" s="2">
        <v>5783.0</v>
      </c>
      <c r="L1127" s="2">
        <v>2774.0</v>
      </c>
      <c r="M1127" s="2">
        <v>2641.0</v>
      </c>
      <c r="N1127" s="2">
        <v>2007.0</v>
      </c>
      <c r="O1127" s="2">
        <v>3581.0</v>
      </c>
      <c r="P1127" s="2">
        <v>3028.0</v>
      </c>
      <c r="Q1127" s="2">
        <v>0.0</v>
      </c>
      <c r="R1127" s="2">
        <v>45622.0</v>
      </c>
      <c r="S1127" s="2">
        <v>22487.0</v>
      </c>
      <c r="T1127" s="2">
        <v>23136.0</v>
      </c>
      <c r="U1127" s="2">
        <v>19489.0</v>
      </c>
      <c r="V1127" s="2">
        <v>2998.0</v>
      </c>
      <c r="W1127" s="2">
        <v>26134.0</v>
      </c>
    </row>
    <row r="1128" ht="15.0" customHeight="1">
      <c r="A1128" s="2">
        <v>2025.0</v>
      </c>
      <c r="B1128" s="2" t="s">
        <v>53</v>
      </c>
      <c r="C1128" s="2">
        <v>11.0</v>
      </c>
      <c r="D1128" s="2" t="s">
        <v>76</v>
      </c>
      <c r="E1128" s="2" t="s">
        <v>63</v>
      </c>
      <c r="F1128" s="2" t="s">
        <v>48</v>
      </c>
      <c r="G1128" s="2" t="s">
        <v>36</v>
      </c>
      <c r="H1128" s="2" t="s">
        <v>35</v>
      </c>
      <c r="I1128" s="2" t="s">
        <v>30</v>
      </c>
      <c r="J1128" s="2">
        <v>6732.0</v>
      </c>
      <c r="K1128" s="2">
        <v>2056.0</v>
      </c>
      <c r="L1128" s="2">
        <v>1293.0</v>
      </c>
      <c r="M1128" s="2">
        <v>1225.0</v>
      </c>
      <c r="N1128" s="2">
        <v>907.0</v>
      </c>
      <c r="O1128" s="2">
        <v>1526.0</v>
      </c>
      <c r="P1128" s="2">
        <v>1278.0</v>
      </c>
      <c r="Q1128" s="2">
        <v>0.0</v>
      </c>
      <c r="R1128" s="2">
        <v>18235.0</v>
      </c>
      <c r="S1128" s="2">
        <v>11323.0</v>
      </c>
      <c r="T1128" s="2">
        <v>6911.0</v>
      </c>
      <c r="U1128" s="2">
        <v>11323.0</v>
      </c>
      <c r="V1128" s="2">
        <v>0.0</v>
      </c>
      <c r="W1128" s="2">
        <v>6911.0</v>
      </c>
    </row>
    <row r="1129" ht="15.0" customHeight="1">
      <c r="A1129" s="2">
        <v>2025.0</v>
      </c>
      <c r="B1129" s="2" t="s">
        <v>53</v>
      </c>
      <c r="C1129" s="2">
        <v>11.0</v>
      </c>
      <c r="D1129" s="2" t="s">
        <v>76</v>
      </c>
      <c r="E1129" s="2" t="s">
        <v>63</v>
      </c>
      <c r="F1129" s="2" t="s">
        <v>48</v>
      </c>
      <c r="G1129" s="2" t="s">
        <v>36</v>
      </c>
      <c r="H1129" s="2" t="s">
        <v>35</v>
      </c>
      <c r="I1129" s="2" t="s">
        <v>31</v>
      </c>
      <c r="J1129" s="2">
        <v>1165.0</v>
      </c>
      <c r="K1129" s="2">
        <v>570.0</v>
      </c>
      <c r="L1129" s="2">
        <v>423.0</v>
      </c>
      <c r="M1129" s="2">
        <v>393.0</v>
      </c>
      <c r="N1129" s="2">
        <v>291.0</v>
      </c>
      <c r="O1129" s="2">
        <v>510.0</v>
      </c>
      <c r="P1129" s="2">
        <v>419.0</v>
      </c>
      <c r="Q1129" s="2">
        <v>0.0</v>
      </c>
      <c r="R1129" s="2">
        <v>6127.0</v>
      </c>
      <c r="S1129" s="2">
        <v>0.0</v>
      </c>
      <c r="T1129" s="2">
        <v>6127.0</v>
      </c>
      <c r="U1129" s="2">
        <v>0.0</v>
      </c>
      <c r="V1129" s="2">
        <v>0.0</v>
      </c>
      <c r="W1129" s="2">
        <v>6127.0</v>
      </c>
    </row>
    <row r="1130" ht="15.0" customHeight="1">
      <c r="A1130" s="2">
        <v>2025.0</v>
      </c>
      <c r="B1130" s="2" t="s">
        <v>53</v>
      </c>
      <c r="C1130" s="2">
        <v>11.0</v>
      </c>
      <c r="D1130" s="2" t="s">
        <v>76</v>
      </c>
      <c r="E1130" s="2" t="s">
        <v>63</v>
      </c>
      <c r="F1130" s="2" t="s">
        <v>48</v>
      </c>
      <c r="G1130" s="2" t="s">
        <v>37</v>
      </c>
      <c r="H1130" s="2" t="s">
        <v>35</v>
      </c>
      <c r="I1130" s="2" t="s">
        <v>29</v>
      </c>
      <c r="J1130" s="2">
        <v>4050.0</v>
      </c>
      <c r="K1130" s="2">
        <v>2048.0</v>
      </c>
      <c r="L1130" s="2">
        <v>835.0</v>
      </c>
      <c r="M1130" s="2">
        <v>780.0</v>
      </c>
      <c r="N1130" s="2">
        <v>614.0</v>
      </c>
      <c r="O1130" s="2">
        <v>1613.0</v>
      </c>
      <c r="P1130" s="2">
        <v>1337.0</v>
      </c>
      <c r="Q1130" s="2">
        <v>32.0</v>
      </c>
      <c r="R1130" s="2">
        <v>40311.0</v>
      </c>
      <c r="S1130" s="2">
        <v>16634.0</v>
      </c>
      <c r="T1130" s="2">
        <v>23677.0</v>
      </c>
      <c r="U1130" s="2">
        <v>16634.0</v>
      </c>
      <c r="V1130" s="2">
        <v>0.0</v>
      </c>
      <c r="W1130" s="2">
        <v>23677.0</v>
      </c>
    </row>
    <row r="1131" ht="15.0" customHeight="1">
      <c r="A1131" s="2">
        <v>2025.0</v>
      </c>
      <c r="B1131" s="2" t="s">
        <v>53</v>
      </c>
      <c r="C1131" s="2">
        <v>11.0</v>
      </c>
      <c r="D1131" s="2" t="s">
        <v>76</v>
      </c>
      <c r="E1131" s="2" t="s">
        <v>63</v>
      </c>
      <c r="F1131" s="2" t="s">
        <v>48</v>
      </c>
      <c r="G1131" s="2" t="s">
        <v>37</v>
      </c>
      <c r="H1131" s="2" t="s">
        <v>35</v>
      </c>
      <c r="I1131" s="2" t="s">
        <v>30</v>
      </c>
      <c r="J1131" s="2">
        <v>2170.0</v>
      </c>
      <c r="K1131" s="2">
        <v>689.0</v>
      </c>
      <c r="L1131" s="2">
        <v>228.0</v>
      </c>
      <c r="M1131" s="2">
        <v>216.0</v>
      </c>
      <c r="N1131" s="2">
        <v>164.0</v>
      </c>
      <c r="O1131" s="2">
        <v>454.0</v>
      </c>
      <c r="P1131" s="2">
        <v>378.0</v>
      </c>
      <c r="Q1131" s="2">
        <v>3.0</v>
      </c>
      <c r="R1131" s="2">
        <v>11191.0</v>
      </c>
      <c r="S1131" s="2">
        <v>6082.0</v>
      </c>
      <c r="T1131" s="2">
        <v>5110.0</v>
      </c>
      <c r="U1131" s="2">
        <v>6082.0</v>
      </c>
      <c r="V1131" s="2">
        <v>0.0</v>
      </c>
      <c r="W1131" s="2">
        <v>5110.0</v>
      </c>
    </row>
    <row r="1132" ht="15.0" customHeight="1">
      <c r="A1132" s="2">
        <v>2025.0</v>
      </c>
      <c r="B1132" s="2" t="s">
        <v>53</v>
      </c>
      <c r="C1132" s="2">
        <v>11.0</v>
      </c>
      <c r="D1132" s="2" t="s">
        <v>76</v>
      </c>
      <c r="E1132" s="2" t="s">
        <v>63</v>
      </c>
      <c r="F1132" s="2" t="s">
        <v>48</v>
      </c>
      <c r="G1132" s="2" t="s">
        <v>37</v>
      </c>
      <c r="H1132" s="2" t="s">
        <v>35</v>
      </c>
      <c r="I1132" s="2" t="s">
        <v>31</v>
      </c>
      <c r="J1132" s="2">
        <v>71.0</v>
      </c>
      <c r="K1132" s="2">
        <v>52.0</v>
      </c>
      <c r="L1132" s="2">
        <v>32.0</v>
      </c>
      <c r="M1132" s="2">
        <v>28.0</v>
      </c>
      <c r="N1132" s="2">
        <v>27.0</v>
      </c>
      <c r="O1132" s="2">
        <v>81.0</v>
      </c>
      <c r="P1132" s="2">
        <v>71.0</v>
      </c>
      <c r="Q1132" s="2">
        <v>0.0</v>
      </c>
      <c r="R1132" s="2">
        <v>2102.0</v>
      </c>
      <c r="S1132" s="2">
        <v>0.0</v>
      </c>
      <c r="T1132" s="2">
        <v>2102.0</v>
      </c>
      <c r="U1132" s="2">
        <v>0.0</v>
      </c>
      <c r="V1132" s="2">
        <v>0.0</v>
      </c>
      <c r="W1132" s="2">
        <v>2102.0</v>
      </c>
    </row>
    <row r="1133" ht="15.0" customHeight="1">
      <c r="A1133" s="2">
        <v>2025.0</v>
      </c>
      <c r="B1133" s="2" t="s">
        <v>53</v>
      </c>
      <c r="C1133" s="2">
        <v>11.0</v>
      </c>
      <c r="D1133" s="2" t="s">
        <v>76</v>
      </c>
      <c r="E1133" s="2" t="s">
        <v>63</v>
      </c>
      <c r="F1133" s="2" t="s">
        <v>48</v>
      </c>
      <c r="G1133" s="2" t="s">
        <v>38</v>
      </c>
      <c r="H1133" s="2" t="s">
        <v>35</v>
      </c>
      <c r="I1133" s="2" t="s">
        <v>29</v>
      </c>
      <c r="J1133" s="2">
        <v>1068.0</v>
      </c>
      <c r="K1133" s="2">
        <v>624.0</v>
      </c>
      <c r="L1133" s="2">
        <v>340.0</v>
      </c>
      <c r="M1133" s="2">
        <v>327.0</v>
      </c>
      <c r="N1133" s="2">
        <v>155.0</v>
      </c>
      <c r="O1133" s="2">
        <v>217.0</v>
      </c>
      <c r="P1133" s="2">
        <v>144.0</v>
      </c>
      <c r="Q1133" s="2">
        <v>43.0</v>
      </c>
      <c r="R1133" s="2">
        <v>2604.0</v>
      </c>
      <c r="S1133" s="2">
        <v>1079.0</v>
      </c>
      <c r="T1133" s="2">
        <v>1525.0</v>
      </c>
      <c r="U1133" s="2">
        <v>978.0</v>
      </c>
      <c r="V1133" s="2">
        <v>101.0</v>
      </c>
      <c r="W1133" s="2">
        <v>1626.0</v>
      </c>
    </row>
    <row r="1134" ht="15.0" customHeight="1">
      <c r="A1134" s="2">
        <v>2025.0</v>
      </c>
      <c r="B1134" s="2" t="s">
        <v>53</v>
      </c>
      <c r="C1134" s="2">
        <v>11.0</v>
      </c>
      <c r="D1134" s="2" t="s">
        <v>76</v>
      </c>
      <c r="E1134" s="2" t="s">
        <v>63</v>
      </c>
      <c r="F1134" s="2" t="s">
        <v>48</v>
      </c>
      <c r="G1134" s="2" t="s">
        <v>38</v>
      </c>
      <c r="H1134" s="2" t="s">
        <v>35</v>
      </c>
      <c r="I1134" s="2" t="s">
        <v>30</v>
      </c>
      <c r="J1134" s="2">
        <v>6922.0</v>
      </c>
      <c r="K1134" s="2">
        <v>2410.0</v>
      </c>
      <c r="L1134" s="2">
        <v>1861.0</v>
      </c>
      <c r="M1134" s="2">
        <v>1790.0</v>
      </c>
      <c r="N1134" s="2">
        <v>885.0</v>
      </c>
      <c r="O1134" s="2">
        <v>1111.0</v>
      </c>
      <c r="P1134" s="2">
        <v>834.0</v>
      </c>
      <c r="Q1134" s="2">
        <v>277.0</v>
      </c>
      <c r="R1134" s="2">
        <v>14879.0</v>
      </c>
      <c r="S1134" s="2">
        <v>13210.0</v>
      </c>
      <c r="T1134" s="2">
        <v>1670.0</v>
      </c>
      <c r="U1134" s="2">
        <v>13210.0</v>
      </c>
      <c r="V1134" s="2">
        <v>0.0</v>
      </c>
      <c r="W1134" s="2">
        <v>1670.0</v>
      </c>
    </row>
    <row r="1135" ht="15.0" customHeight="1">
      <c r="A1135" s="2">
        <v>2025.0</v>
      </c>
      <c r="B1135" s="2" t="s">
        <v>53</v>
      </c>
      <c r="C1135" s="2">
        <v>11.0</v>
      </c>
      <c r="D1135" s="2" t="s">
        <v>76</v>
      </c>
      <c r="E1135" s="2" t="s">
        <v>63</v>
      </c>
      <c r="F1135" s="2" t="s">
        <v>48</v>
      </c>
      <c r="G1135" s="2" t="s">
        <v>38</v>
      </c>
      <c r="H1135" s="2" t="s">
        <v>35</v>
      </c>
      <c r="I1135" s="2" t="s">
        <v>31</v>
      </c>
      <c r="J1135" s="2">
        <v>882.0</v>
      </c>
      <c r="K1135" s="2">
        <v>628.0</v>
      </c>
      <c r="L1135" s="2">
        <v>515.0</v>
      </c>
      <c r="M1135" s="2">
        <v>455.0</v>
      </c>
      <c r="N1135" s="2">
        <v>232.0</v>
      </c>
      <c r="O1135" s="2">
        <v>316.0</v>
      </c>
      <c r="P1135" s="2">
        <v>236.0</v>
      </c>
      <c r="Q1135" s="2">
        <v>72.0</v>
      </c>
      <c r="R1135" s="2">
        <v>4889.0</v>
      </c>
      <c r="S1135" s="2">
        <v>0.0</v>
      </c>
      <c r="T1135" s="2">
        <v>4889.0</v>
      </c>
      <c r="U1135" s="2">
        <v>0.0</v>
      </c>
      <c r="V1135" s="2">
        <v>0.0</v>
      </c>
      <c r="W1135" s="2">
        <v>4889.0</v>
      </c>
    </row>
    <row r="1136" ht="15.0" customHeight="1">
      <c r="A1136" s="2">
        <v>2025.0</v>
      </c>
      <c r="B1136" s="2" t="s">
        <v>53</v>
      </c>
      <c r="C1136" s="2">
        <v>11.0</v>
      </c>
      <c r="D1136" s="2" t="s">
        <v>76</v>
      </c>
      <c r="E1136" s="2" t="s">
        <v>63</v>
      </c>
      <c r="F1136" s="2" t="s">
        <v>48</v>
      </c>
      <c r="G1136" s="2" t="s">
        <v>39</v>
      </c>
      <c r="H1136" s="2" t="s">
        <v>40</v>
      </c>
      <c r="I1136" s="2" t="s">
        <v>29</v>
      </c>
      <c r="J1136" s="2">
        <v>32830.0</v>
      </c>
      <c r="K1136" s="2">
        <v>19872.0</v>
      </c>
      <c r="L1136" s="2">
        <v>7961.0</v>
      </c>
      <c r="M1136" s="2">
        <v>7464.0</v>
      </c>
      <c r="N1136" s="2">
        <v>4996.0</v>
      </c>
      <c r="O1136" s="2">
        <v>7028.0</v>
      </c>
      <c r="P1136" s="2">
        <v>6658.0</v>
      </c>
      <c r="Q1136" s="2">
        <v>5266.0</v>
      </c>
      <c r="R1136" s="2">
        <v>53073.0</v>
      </c>
      <c r="S1136" s="2">
        <v>34914.0</v>
      </c>
      <c r="T1136" s="2">
        <v>18159.0</v>
      </c>
      <c r="U1136" s="2">
        <v>34771.0</v>
      </c>
      <c r="V1136" s="2">
        <v>143.0</v>
      </c>
      <c r="W1136" s="2">
        <v>18302.0</v>
      </c>
    </row>
    <row r="1137" ht="15.0" customHeight="1">
      <c r="A1137" s="2">
        <v>2025.0</v>
      </c>
      <c r="B1137" s="2" t="s">
        <v>53</v>
      </c>
      <c r="C1137" s="2">
        <v>11.0</v>
      </c>
      <c r="D1137" s="2" t="s">
        <v>76</v>
      </c>
      <c r="E1137" s="2" t="s">
        <v>63</v>
      </c>
      <c r="F1137" s="2" t="s">
        <v>48</v>
      </c>
      <c r="G1137" s="2" t="s">
        <v>39</v>
      </c>
      <c r="H1137" s="2" t="s">
        <v>40</v>
      </c>
      <c r="I1137" s="2" t="s">
        <v>30</v>
      </c>
      <c r="J1137" s="2">
        <v>3047.0</v>
      </c>
      <c r="K1137" s="2">
        <v>1426.0</v>
      </c>
      <c r="L1137" s="2">
        <v>715.0</v>
      </c>
      <c r="M1137" s="2">
        <v>663.0</v>
      </c>
      <c r="N1137" s="2">
        <v>546.0</v>
      </c>
      <c r="O1137" s="2">
        <v>722.0</v>
      </c>
      <c r="P1137" s="2">
        <v>680.0</v>
      </c>
      <c r="Q1137" s="2">
        <v>502.0</v>
      </c>
      <c r="R1137" s="2">
        <v>5747.0</v>
      </c>
      <c r="S1137" s="2">
        <v>4525.0</v>
      </c>
      <c r="T1137" s="2">
        <v>1222.0</v>
      </c>
      <c r="U1137" s="2">
        <v>4525.0</v>
      </c>
      <c r="V1137" s="2">
        <v>0.0</v>
      </c>
      <c r="W1137" s="2">
        <v>1222.0</v>
      </c>
    </row>
    <row r="1138" ht="15.0" customHeight="1">
      <c r="A1138" s="2">
        <v>2025.0</v>
      </c>
      <c r="B1138" s="2" t="s">
        <v>53</v>
      </c>
      <c r="C1138" s="2">
        <v>11.0</v>
      </c>
      <c r="D1138" s="2" t="s">
        <v>76</v>
      </c>
      <c r="E1138" s="2" t="s">
        <v>63</v>
      </c>
      <c r="F1138" s="2" t="s">
        <v>48</v>
      </c>
      <c r="G1138" s="2" t="s">
        <v>39</v>
      </c>
      <c r="H1138" s="2" t="s">
        <v>40</v>
      </c>
      <c r="I1138" s="2" t="s">
        <v>31</v>
      </c>
      <c r="J1138" s="2">
        <v>1407.0</v>
      </c>
      <c r="K1138" s="2">
        <v>856.0</v>
      </c>
      <c r="L1138" s="2">
        <v>464.0</v>
      </c>
      <c r="M1138" s="2">
        <v>397.0</v>
      </c>
      <c r="N1138" s="2">
        <v>317.0</v>
      </c>
      <c r="O1138" s="2">
        <v>500.0</v>
      </c>
      <c r="P1138" s="2">
        <v>468.0</v>
      </c>
      <c r="Q1138" s="2">
        <v>295.0</v>
      </c>
      <c r="R1138" s="2">
        <v>5053.0</v>
      </c>
      <c r="S1138" s="2">
        <v>0.0</v>
      </c>
      <c r="T1138" s="2">
        <v>5053.0</v>
      </c>
      <c r="U1138" s="2">
        <v>0.0</v>
      </c>
      <c r="V1138" s="2">
        <v>0.0</v>
      </c>
      <c r="W1138" s="2">
        <v>5053.0</v>
      </c>
    </row>
    <row r="1139" ht="15.0" customHeight="1">
      <c r="A1139" s="2">
        <v>2025.0</v>
      </c>
      <c r="B1139" s="2" t="s">
        <v>53</v>
      </c>
      <c r="C1139" s="2">
        <v>11.0</v>
      </c>
      <c r="D1139" s="2" t="s">
        <v>76</v>
      </c>
      <c r="E1139" s="2" t="s">
        <v>63</v>
      </c>
      <c r="F1139" s="2" t="s">
        <v>48</v>
      </c>
      <c r="G1139" s="2" t="s">
        <v>41</v>
      </c>
      <c r="H1139" s="2" t="s">
        <v>42</v>
      </c>
      <c r="I1139" s="2" t="s">
        <v>29</v>
      </c>
      <c r="J1139" s="2">
        <v>14562.0</v>
      </c>
      <c r="K1139" s="2">
        <v>9502.0</v>
      </c>
      <c r="L1139" s="2">
        <v>2279.0</v>
      </c>
      <c r="M1139" s="2">
        <v>2035.0</v>
      </c>
      <c r="N1139" s="2">
        <v>904.0</v>
      </c>
      <c r="O1139" s="2">
        <v>1175.0</v>
      </c>
      <c r="P1139" s="2">
        <v>959.0</v>
      </c>
      <c r="Q1139" s="2">
        <v>185.0</v>
      </c>
      <c r="R1139" s="2">
        <v>9070.0</v>
      </c>
      <c r="S1139" s="2">
        <v>13148.0</v>
      </c>
      <c r="T1139" s="2">
        <v>-4079.0</v>
      </c>
      <c r="U1139" s="2">
        <v>10584.0</v>
      </c>
      <c r="V1139" s="2">
        <v>2564.0</v>
      </c>
      <c r="W1139" s="2">
        <v>-1514.0</v>
      </c>
    </row>
    <row r="1140" ht="15.0" customHeight="1">
      <c r="A1140" s="2">
        <v>2025.0</v>
      </c>
      <c r="B1140" s="2" t="s">
        <v>53</v>
      </c>
      <c r="C1140" s="2">
        <v>11.0</v>
      </c>
      <c r="D1140" s="2" t="s">
        <v>76</v>
      </c>
      <c r="E1140" s="2" t="s">
        <v>63</v>
      </c>
      <c r="F1140" s="2" t="s">
        <v>48</v>
      </c>
      <c r="G1140" s="2" t="s">
        <v>41</v>
      </c>
      <c r="H1140" s="2" t="s">
        <v>42</v>
      </c>
      <c r="I1140" s="2" t="s">
        <v>30</v>
      </c>
      <c r="J1140" s="2">
        <v>11034.0</v>
      </c>
      <c r="K1140" s="2">
        <v>5832.0</v>
      </c>
      <c r="L1140" s="2">
        <v>3520.0</v>
      </c>
      <c r="M1140" s="2">
        <v>3270.0</v>
      </c>
      <c r="N1140" s="2">
        <v>1608.0</v>
      </c>
      <c r="O1140" s="2">
        <v>2044.0</v>
      </c>
      <c r="P1140" s="2">
        <v>1648.0</v>
      </c>
      <c r="Q1140" s="2">
        <v>411.0</v>
      </c>
      <c r="R1140" s="2">
        <v>15170.0</v>
      </c>
      <c r="S1140" s="2">
        <v>12064.0</v>
      </c>
      <c r="T1140" s="2">
        <v>3105.0</v>
      </c>
      <c r="U1140" s="2">
        <v>12064.0</v>
      </c>
      <c r="V1140" s="2">
        <v>0.0</v>
      </c>
      <c r="W1140" s="2">
        <v>3105.0</v>
      </c>
    </row>
    <row r="1141" ht="15.0" customHeight="1">
      <c r="A1141" s="2">
        <v>2025.0</v>
      </c>
      <c r="B1141" s="2" t="s">
        <v>53</v>
      </c>
      <c r="C1141" s="2">
        <v>11.0</v>
      </c>
      <c r="D1141" s="2" t="s">
        <v>76</v>
      </c>
      <c r="E1141" s="2" t="s">
        <v>63</v>
      </c>
      <c r="F1141" s="2" t="s">
        <v>48</v>
      </c>
      <c r="G1141" s="2" t="s">
        <v>41</v>
      </c>
      <c r="H1141" s="2" t="s">
        <v>42</v>
      </c>
      <c r="I1141" s="2" t="s">
        <v>31</v>
      </c>
      <c r="J1141" s="2">
        <v>8415.0</v>
      </c>
      <c r="K1141" s="2">
        <v>6144.0</v>
      </c>
      <c r="L1141" s="2">
        <v>5897.0</v>
      </c>
      <c r="M1141" s="2">
        <v>4903.0</v>
      </c>
      <c r="N1141" s="2">
        <v>1566.0</v>
      </c>
      <c r="O1141" s="2">
        <v>1906.0</v>
      </c>
      <c r="P1141" s="2">
        <v>1555.0</v>
      </c>
      <c r="Q1141" s="2">
        <v>301.0</v>
      </c>
      <c r="R1141" s="2">
        <v>16165.0</v>
      </c>
      <c r="S1141" s="2">
        <v>27.0</v>
      </c>
      <c r="T1141" s="2">
        <v>16138.0</v>
      </c>
      <c r="U1141" s="2">
        <v>27.0</v>
      </c>
      <c r="V1141" s="2">
        <v>0.0</v>
      </c>
      <c r="W1141" s="2">
        <v>16138.0</v>
      </c>
    </row>
    <row r="1142" ht="15.0" customHeight="1">
      <c r="A1142" s="2">
        <v>2025.0</v>
      </c>
      <c r="B1142" s="2" t="s">
        <v>53</v>
      </c>
      <c r="C1142" s="2">
        <v>11.0</v>
      </c>
      <c r="D1142" s="2" t="s">
        <v>76</v>
      </c>
      <c r="E1142" s="2" t="s">
        <v>63</v>
      </c>
      <c r="F1142" s="2" t="s">
        <v>48</v>
      </c>
      <c r="G1142" s="2" t="s">
        <v>43</v>
      </c>
      <c r="H1142" s="2" t="s">
        <v>42</v>
      </c>
      <c r="I1142" s="2" t="s">
        <v>29</v>
      </c>
      <c r="J1142" s="2">
        <v>13376.0</v>
      </c>
      <c r="K1142" s="2">
        <v>6242.0</v>
      </c>
      <c r="L1142" s="2">
        <v>3119.0</v>
      </c>
      <c r="M1142" s="2">
        <v>2857.0</v>
      </c>
      <c r="N1142" s="2">
        <v>1484.0</v>
      </c>
      <c r="O1142" s="2">
        <v>2958.0</v>
      </c>
      <c r="P1142" s="2">
        <v>2682.0</v>
      </c>
      <c r="Q1142" s="2">
        <v>0.0</v>
      </c>
      <c r="R1142" s="2">
        <v>106118.0</v>
      </c>
      <c r="S1142" s="2">
        <v>59571.0</v>
      </c>
      <c r="T1142" s="2">
        <v>46548.0</v>
      </c>
      <c r="U1142" s="2">
        <v>57954.0</v>
      </c>
      <c r="V1142" s="2">
        <v>1617.0</v>
      </c>
      <c r="W1142" s="2">
        <v>48165.0</v>
      </c>
    </row>
    <row r="1143" ht="15.0" customHeight="1">
      <c r="A1143" s="2">
        <v>2025.0</v>
      </c>
      <c r="B1143" s="2" t="s">
        <v>53</v>
      </c>
      <c r="C1143" s="2">
        <v>11.0</v>
      </c>
      <c r="D1143" s="2" t="s">
        <v>76</v>
      </c>
      <c r="E1143" s="2" t="s">
        <v>63</v>
      </c>
      <c r="F1143" s="2" t="s">
        <v>48</v>
      </c>
      <c r="G1143" s="2" t="s">
        <v>43</v>
      </c>
      <c r="H1143" s="2" t="s">
        <v>42</v>
      </c>
      <c r="I1143" s="2" t="s">
        <v>30</v>
      </c>
      <c r="J1143" s="2">
        <v>3576.0</v>
      </c>
      <c r="K1143" s="2">
        <v>1258.0</v>
      </c>
      <c r="L1143" s="2">
        <v>555.0</v>
      </c>
      <c r="M1143" s="2">
        <v>497.0</v>
      </c>
      <c r="N1143" s="2">
        <v>225.0</v>
      </c>
      <c r="O1143" s="2">
        <v>500.0</v>
      </c>
      <c r="P1143" s="2">
        <v>451.0</v>
      </c>
      <c r="Q1143" s="2">
        <v>0.0</v>
      </c>
      <c r="R1143" s="2">
        <v>17929.0</v>
      </c>
      <c r="S1143" s="2">
        <v>11829.0</v>
      </c>
      <c r="T1143" s="2">
        <v>6100.0</v>
      </c>
      <c r="U1143" s="2">
        <v>11829.0</v>
      </c>
      <c r="V1143" s="2">
        <v>0.0</v>
      </c>
      <c r="W1143" s="2">
        <v>6100.0</v>
      </c>
    </row>
    <row r="1144" ht="15.0" customHeight="1">
      <c r="A1144" s="2">
        <v>2025.0</v>
      </c>
      <c r="B1144" s="2" t="s">
        <v>53</v>
      </c>
      <c r="C1144" s="2">
        <v>11.0</v>
      </c>
      <c r="D1144" s="2" t="s">
        <v>76</v>
      </c>
      <c r="E1144" s="2" t="s">
        <v>63</v>
      </c>
      <c r="F1144" s="2" t="s">
        <v>48</v>
      </c>
      <c r="G1144" s="2" t="s">
        <v>43</v>
      </c>
      <c r="H1144" s="2" t="s">
        <v>42</v>
      </c>
      <c r="I1144" s="2" t="s">
        <v>31</v>
      </c>
      <c r="J1144" s="2">
        <v>488.0</v>
      </c>
      <c r="K1144" s="2">
        <v>293.0</v>
      </c>
      <c r="L1144" s="2">
        <v>201.0</v>
      </c>
      <c r="M1144" s="2">
        <v>165.0</v>
      </c>
      <c r="N1144" s="2">
        <v>77.0</v>
      </c>
      <c r="O1144" s="2">
        <v>144.0</v>
      </c>
      <c r="P1144" s="2">
        <v>127.0</v>
      </c>
      <c r="Q1144" s="2">
        <v>0.0</v>
      </c>
      <c r="R1144" s="2">
        <v>5163.0</v>
      </c>
      <c r="S1144" s="2">
        <v>0.0</v>
      </c>
      <c r="T1144" s="2">
        <v>5163.0</v>
      </c>
      <c r="U1144" s="2">
        <v>0.0</v>
      </c>
      <c r="V1144" s="2">
        <v>0.0</v>
      </c>
      <c r="W1144" s="2">
        <v>5163.0</v>
      </c>
    </row>
    <row r="1145" ht="15.0" customHeight="1">
      <c r="A1145" s="2">
        <v>2025.0</v>
      </c>
      <c r="B1145" s="2" t="s">
        <v>53</v>
      </c>
      <c r="C1145" s="2">
        <v>11.0</v>
      </c>
      <c r="D1145" s="2" t="s">
        <v>76</v>
      </c>
      <c r="E1145" s="2" t="s">
        <v>63</v>
      </c>
      <c r="F1145" s="2" t="s">
        <v>48</v>
      </c>
      <c r="G1145" s="2" t="s">
        <v>44</v>
      </c>
      <c r="H1145" s="2" t="s">
        <v>45</v>
      </c>
      <c r="I1145" s="2" t="s">
        <v>29</v>
      </c>
      <c r="J1145" s="2">
        <v>2107.0</v>
      </c>
      <c r="K1145" s="2">
        <v>1074.0</v>
      </c>
      <c r="L1145" s="2">
        <v>264.0</v>
      </c>
      <c r="M1145" s="2">
        <v>242.0</v>
      </c>
      <c r="N1145" s="2">
        <v>200.0</v>
      </c>
      <c r="O1145" s="2">
        <v>395.0</v>
      </c>
      <c r="P1145" s="2">
        <v>339.0</v>
      </c>
      <c r="Q1145" s="2">
        <v>114.0</v>
      </c>
      <c r="R1145" s="2">
        <v>7863.0</v>
      </c>
      <c r="S1145" s="2">
        <v>9922.0</v>
      </c>
      <c r="T1145" s="2">
        <v>-2058.0</v>
      </c>
      <c r="U1145" s="2">
        <v>5907.0</v>
      </c>
      <c r="V1145" s="2">
        <v>4014.0</v>
      </c>
      <c r="W1145" s="2">
        <v>1956.0</v>
      </c>
    </row>
    <row r="1146" ht="15.0" customHeight="1">
      <c r="A1146" s="2">
        <v>2025.0</v>
      </c>
      <c r="B1146" s="2" t="s">
        <v>53</v>
      </c>
      <c r="C1146" s="2">
        <v>11.0</v>
      </c>
      <c r="D1146" s="2" t="s">
        <v>76</v>
      </c>
      <c r="E1146" s="2" t="s">
        <v>63</v>
      </c>
      <c r="F1146" s="2" t="s">
        <v>48</v>
      </c>
      <c r="G1146" s="2" t="s">
        <v>44</v>
      </c>
      <c r="H1146" s="2" t="s">
        <v>45</v>
      </c>
      <c r="I1146" s="2" t="s">
        <v>30</v>
      </c>
      <c r="J1146" s="2">
        <v>2962.0</v>
      </c>
      <c r="K1146" s="2">
        <v>321.0</v>
      </c>
      <c r="L1146" s="2">
        <v>88.0</v>
      </c>
      <c r="M1146" s="2">
        <v>68.0</v>
      </c>
      <c r="N1146" s="2">
        <v>54.0</v>
      </c>
      <c r="O1146" s="2">
        <v>103.0</v>
      </c>
      <c r="P1146" s="2">
        <v>81.0</v>
      </c>
      <c r="Q1146" s="2">
        <v>26.0</v>
      </c>
      <c r="R1146" s="2">
        <v>2050.0</v>
      </c>
      <c r="S1146" s="2">
        <v>1620.0</v>
      </c>
      <c r="T1146" s="2">
        <v>430.0</v>
      </c>
      <c r="U1146" s="2">
        <v>1620.0</v>
      </c>
      <c r="V1146" s="2">
        <v>0.0</v>
      </c>
      <c r="W1146" s="2">
        <v>430.0</v>
      </c>
    </row>
    <row r="1147" ht="15.0" customHeight="1">
      <c r="A1147" s="2">
        <v>2025.0</v>
      </c>
      <c r="B1147" s="2" t="s">
        <v>53</v>
      </c>
      <c r="C1147" s="2">
        <v>11.0</v>
      </c>
      <c r="D1147" s="2" t="s">
        <v>76</v>
      </c>
      <c r="E1147" s="2" t="s">
        <v>63</v>
      </c>
      <c r="F1147" s="2" t="s">
        <v>48</v>
      </c>
      <c r="G1147" s="2" t="s">
        <v>44</v>
      </c>
      <c r="H1147" s="2" t="s">
        <v>45</v>
      </c>
      <c r="I1147" s="2" t="s">
        <v>31</v>
      </c>
      <c r="J1147" s="2">
        <v>234.0</v>
      </c>
      <c r="K1147" s="2">
        <v>134.0</v>
      </c>
      <c r="L1147" s="2">
        <v>64.0</v>
      </c>
      <c r="M1147" s="2">
        <v>50.0</v>
      </c>
      <c r="N1147" s="2">
        <v>42.0</v>
      </c>
      <c r="O1147" s="2">
        <v>144.0</v>
      </c>
      <c r="P1147" s="2">
        <v>127.0</v>
      </c>
      <c r="Q1147" s="2">
        <v>26.0</v>
      </c>
      <c r="R1147" s="2">
        <v>4254.0</v>
      </c>
      <c r="S1147" s="2">
        <v>38.0</v>
      </c>
      <c r="T1147" s="2">
        <v>4216.0</v>
      </c>
      <c r="U1147" s="2">
        <v>38.0</v>
      </c>
      <c r="V1147" s="2">
        <v>0.0</v>
      </c>
      <c r="W1147" s="2">
        <v>4216.0</v>
      </c>
    </row>
    <row r="1148" ht="15.0" customHeight="1">
      <c r="A1148" s="2">
        <v>2025.0</v>
      </c>
      <c r="B1148" s="2" t="s">
        <v>53</v>
      </c>
      <c r="C1148" s="2">
        <v>11.0</v>
      </c>
      <c r="D1148" s="2" t="s">
        <v>76</v>
      </c>
      <c r="E1148" s="2" t="s">
        <v>63</v>
      </c>
      <c r="F1148" s="2" t="s">
        <v>48</v>
      </c>
      <c r="G1148" s="2" t="s">
        <v>46</v>
      </c>
      <c r="H1148" s="2" t="s">
        <v>47</v>
      </c>
      <c r="I1148" s="2" t="s">
        <v>29</v>
      </c>
      <c r="J1148" s="2">
        <v>10473.0</v>
      </c>
      <c r="K1148" s="2">
        <v>5290.0</v>
      </c>
      <c r="L1148" s="2">
        <v>2004.0</v>
      </c>
      <c r="M1148" s="2">
        <v>1776.0</v>
      </c>
      <c r="N1148" s="2">
        <v>1447.0</v>
      </c>
      <c r="O1148" s="2">
        <v>2497.0</v>
      </c>
      <c r="P1148" s="2">
        <v>1911.0</v>
      </c>
      <c r="Q1148" s="2">
        <v>763.0</v>
      </c>
      <c r="R1148" s="2">
        <v>67401.0</v>
      </c>
      <c r="S1148" s="2">
        <v>36874.0</v>
      </c>
      <c r="T1148" s="2">
        <v>30527.0</v>
      </c>
      <c r="U1148" s="2">
        <v>36287.0</v>
      </c>
      <c r="V1148" s="2">
        <v>587.0</v>
      </c>
      <c r="W1148" s="2">
        <v>31114.0</v>
      </c>
    </row>
    <row r="1149" ht="15.0" customHeight="1">
      <c r="A1149" s="2">
        <v>2025.0</v>
      </c>
      <c r="B1149" s="2" t="s">
        <v>53</v>
      </c>
      <c r="C1149" s="2">
        <v>11.0</v>
      </c>
      <c r="D1149" s="2" t="s">
        <v>76</v>
      </c>
      <c r="E1149" s="2" t="s">
        <v>63</v>
      </c>
      <c r="F1149" s="2" t="s">
        <v>48</v>
      </c>
      <c r="G1149" s="2" t="s">
        <v>46</v>
      </c>
      <c r="H1149" s="2" t="s">
        <v>47</v>
      </c>
      <c r="I1149" s="2" t="s">
        <v>30</v>
      </c>
      <c r="J1149" s="2">
        <v>5544.0</v>
      </c>
      <c r="K1149" s="2">
        <v>833.0</v>
      </c>
      <c r="L1149" s="2">
        <v>346.0</v>
      </c>
      <c r="M1149" s="2">
        <v>316.0</v>
      </c>
      <c r="N1149" s="2">
        <v>280.0</v>
      </c>
      <c r="O1149" s="2">
        <v>517.0</v>
      </c>
      <c r="P1149" s="2">
        <v>409.0</v>
      </c>
      <c r="Q1149" s="2">
        <v>168.0</v>
      </c>
      <c r="R1149" s="2">
        <v>13255.0</v>
      </c>
      <c r="S1149" s="2">
        <v>11430.0</v>
      </c>
      <c r="T1149" s="2">
        <v>1825.0</v>
      </c>
      <c r="U1149" s="2">
        <v>11430.0</v>
      </c>
      <c r="V1149" s="2">
        <v>0.0</v>
      </c>
      <c r="W1149" s="2">
        <v>1825.0</v>
      </c>
    </row>
    <row r="1150" ht="15.0" customHeight="1">
      <c r="A1150" s="2">
        <v>2025.0</v>
      </c>
      <c r="B1150" s="2" t="s">
        <v>53</v>
      </c>
      <c r="C1150" s="2">
        <v>11.0</v>
      </c>
      <c r="D1150" s="2" t="s">
        <v>76</v>
      </c>
      <c r="E1150" s="2" t="s">
        <v>63</v>
      </c>
      <c r="F1150" s="2" t="s">
        <v>48</v>
      </c>
      <c r="G1150" s="2" t="s">
        <v>46</v>
      </c>
      <c r="H1150" s="2" t="s">
        <v>47</v>
      </c>
      <c r="I1150" s="2" t="s">
        <v>31</v>
      </c>
      <c r="J1150" s="2">
        <v>537.0</v>
      </c>
      <c r="K1150" s="2">
        <v>274.0</v>
      </c>
      <c r="L1150" s="2">
        <v>125.0</v>
      </c>
      <c r="M1150" s="2">
        <v>98.0</v>
      </c>
      <c r="N1150" s="2">
        <v>88.0</v>
      </c>
      <c r="O1150" s="2">
        <v>170.0</v>
      </c>
      <c r="P1150" s="2">
        <v>129.0</v>
      </c>
      <c r="Q1150" s="2">
        <v>54.0</v>
      </c>
      <c r="R1150" s="2">
        <v>4389.0</v>
      </c>
      <c r="S1150" s="2">
        <v>53.0</v>
      </c>
      <c r="T1150" s="2">
        <v>4336.0</v>
      </c>
      <c r="U1150" s="2">
        <v>53.0</v>
      </c>
      <c r="V1150" s="2">
        <v>0.0</v>
      </c>
      <c r="W1150" s="2">
        <v>4336.0</v>
      </c>
    </row>
    <row r="1151" ht="15.0" customHeight="1">
      <c r="A1151" s="2">
        <v>2025.0</v>
      </c>
      <c r="B1151" s="2" t="s">
        <v>55</v>
      </c>
      <c r="C1151" s="2">
        <v>10.0</v>
      </c>
      <c r="D1151" s="2" t="s">
        <v>77</v>
      </c>
      <c r="E1151" s="2" t="s">
        <v>63</v>
      </c>
      <c r="F1151" s="2" t="s">
        <v>26</v>
      </c>
      <c r="G1151" s="2" t="s">
        <v>27</v>
      </c>
      <c r="H1151" s="2" t="s">
        <v>28</v>
      </c>
      <c r="I1151" s="2" t="s">
        <v>29</v>
      </c>
      <c r="J1151" s="2">
        <v>4910.0</v>
      </c>
      <c r="K1151" s="2">
        <v>2608.0</v>
      </c>
      <c r="L1151" s="2">
        <v>680.0</v>
      </c>
      <c r="M1151" s="2">
        <v>647.0</v>
      </c>
      <c r="N1151" s="2">
        <v>531.0</v>
      </c>
      <c r="O1151" s="2">
        <v>1008.0</v>
      </c>
      <c r="P1151" s="2">
        <v>873.0</v>
      </c>
      <c r="Q1151" s="2">
        <v>155.0</v>
      </c>
      <c r="R1151" s="2">
        <v>20396.0</v>
      </c>
      <c r="S1151" s="2">
        <v>11756.0</v>
      </c>
      <c r="T1151" s="2">
        <v>8640.0</v>
      </c>
      <c r="U1151" s="2">
        <v>9959.0</v>
      </c>
      <c r="V1151" s="2">
        <v>1797.0</v>
      </c>
      <c r="W1151" s="2">
        <v>10437.0</v>
      </c>
    </row>
    <row r="1152" ht="15.0" customHeight="1">
      <c r="A1152" s="2">
        <v>2025.0</v>
      </c>
      <c r="B1152" s="2" t="s">
        <v>55</v>
      </c>
      <c r="C1152" s="2">
        <v>10.0</v>
      </c>
      <c r="D1152" s="2" t="s">
        <v>77</v>
      </c>
      <c r="E1152" s="2" t="s">
        <v>63</v>
      </c>
      <c r="F1152" s="2" t="s">
        <v>26</v>
      </c>
      <c r="G1152" s="2" t="s">
        <v>27</v>
      </c>
      <c r="H1152" s="2" t="s">
        <v>28</v>
      </c>
      <c r="I1152" s="2" t="s">
        <v>30</v>
      </c>
      <c r="J1152" s="2">
        <v>1872.0</v>
      </c>
      <c r="K1152" s="2">
        <v>719.0</v>
      </c>
      <c r="L1152" s="2">
        <v>131.0</v>
      </c>
      <c r="M1152" s="2">
        <v>124.0</v>
      </c>
      <c r="N1152" s="2">
        <v>96.0</v>
      </c>
      <c r="O1152" s="2">
        <v>173.0</v>
      </c>
      <c r="P1152" s="2">
        <v>146.0</v>
      </c>
      <c r="Q1152" s="2">
        <v>22.0</v>
      </c>
      <c r="R1152" s="2">
        <v>3423.0</v>
      </c>
      <c r="S1152" s="2">
        <v>2028.0</v>
      </c>
      <c r="T1152" s="2">
        <v>1395.0</v>
      </c>
      <c r="U1152" s="2">
        <v>2028.0</v>
      </c>
      <c r="V1152" s="2">
        <v>0.0</v>
      </c>
      <c r="W1152" s="2">
        <v>1395.0</v>
      </c>
    </row>
    <row r="1153" ht="15.0" customHeight="1">
      <c r="A1153" s="2">
        <v>2025.0</v>
      </c>
      <c r="B1153" s="2" t="s">
        <v>55</v>
      </c>
      <c r="C1153" s="2">
        <v>10.0</v>
      </c>
      <c r="D1153" s="2" t="s">
        <v>77</v>
      </c>
      <c r="E1153" s="2" t="s">
        <v>63</v>
      </c>
      <c r="F1153" s="2" t="s">
        <v>26</v>
      </c>
      <c r="G1153" s="2" t="s">
        <v>27</v>
      </c>
      <c r="H1153" s="2" t="s">
        <v>28</v>
      </c>
      <c r="I1153" s="2" t="s">
        <v>31</v>
      </c>
      <c r="J1153" s="2">
        <v>523.0</v>
      </c>
      <c r="K1153" s="2">
        <v>343.0</v>
      </c>
      <c r="L1153" s="2">
        <v>222.0</v>
      </c>
      <c r="M1153" s="2">
        <v>185.0</v>
      </c>
      <c r="N1153" s="2">
        <v>147.0</v>
      </c>
      <c r="O1153" s="2">
        <v>302.0</v>
      </c>
      <c r="P1153" s="2">
        <v>256.0</v>
      </c>
      <c r="Q1153" s="2">
        <v>42.0</v>
      </c>
      <c r="R1153" s="2">
        <v>6181.0</v>
      </c>
      <c r="S1153" s="2">
        <v>672.0</v>
      </c>
      <c r="T1153" s="2">
        <v>5509.0</v>
      </c>
      <c r="U1153" s="2">
        <v>672.0</v>
      </c>
      <c r="V1153" s="2">
        <v>0.0</v>
      </c>
      <c r="W1153" s="2">
        <v>5509.0</v>
      </c>
    </row>
    <row r="1154" ht="15.0" customHeight="1">
      <c r="A1154" s="2">
        <v>2025.0</v>
      </c>
      <c r="B1154" s="2" t="s">
        <v>55</v>
      </c>
      <c r="C1154" s="2">
        <v>10.0</v>
      </c>
      <c r="D1154" s="2" t="s">
        <v>77</v>
      </c>
      <c r="E1154" s="2" t="s">
        <v>63</v>
      </c>
      <c r="F1154" s="2" t="s">
        <v>26</v>
      </c>
      <c r="G1154" s="2" t="s">
        <v>32</v>
      </c>
      <c r="H1154" s="2" t="s">
        <v>28</v>
      </c>
      <c r="I1154" s="2" t="s">
        <v>29</v>
      </c>
      <c r="J1154" s="2">
        <v>12278.0</v>
      </c>
      <c r="K1154" s="2">
        <v>6688.0</v>
      </c>
      <c r="L1154" s="2">
        <v>3314.0</v>
      </c>
      <c r="M1154" s="2">
        <v>3147.0</v>
      </c>
      <c r="N1154" s="2">
        <v>2256.0</v>
      </c>
      <c r="O1154" s="2">
        <v>2976.0</v>
      </c>
      <c r="P1154" s="2">
        <v>2620.0</v>
      </c>
      <c r="Q1154" s="2">
        <v>77.0</v>
      </c>
      <c r="R1154" s="2">
        <v>25056.0</v>
      </c>
      <c r="S1154" s="2">
        <v>11690.0</v>
      </c>
      <c r="T1154" s="2">
        <v>13366.0</v>
      </c>
      <c r="U1154" s="2">
        <v>11401.0</v>
      </c>
      <c r="V1154" s="2">
        <v>289.0</v>
      </c>
      <c r="W1154" s="2">
        <v>13655.0</v>
      </c>
    </row>
    <row r="1155" ht="15.0" customHeight="1">
      <c r="A1155" s="2">
        <v>2025.0</v>
      </c>
      <c r="B1155" s="2" t="s">
        <v>55</v>
      </c>
      <c r="C1155" s="2">
        <v>10.0</v>
      </c>
      <c r="D1155" s="2" t="s">
        <v>77</v>
      </c>
      <c r="E1155" s="2" t="s">
        <v>63</v>
      </c>
      <c r="F1155" s="2" t="s">
        <v>26</v>
      </c>
      <c r="G1155" s="2" t="s">
        <v>32</v>
      </c>
      <c r="H1155" s="2" t="s">
        <v>28</v>
      </c>
      <c r="I1155" s="2" t="s">
        <v>30</v>
      </c>
      <c r="J1155" s="2">
        <v>8572.0</v>
      </c>
      <c r="K1155" s="2">
        <v>2955.0</v>
      </c>
      <c r="L1155" s="2">
        <v>1303.0</v>
      </c>
      <c r="M1155" s="2">
        <v>1240.0</v>
      </c>
      <c r="N1155" s="2">
        <v>802.0</v>
      </c>
      <c r="O1155" s="2">
        <v>1050.0</v>
      </c>
      <c r="P1155" s="2">
        <v>914.0</v>
      </c>
      <c r="Q1155" s="2">
        <v>17.0</v>
      </c>
      <c r="R1155" s="2">
        <v>8263.0</v>
      </c>
      <c r="S1155" s="2">
        <v>6968.0</v>
      </c>
      <c r="T1155" s="2">
        <v>1295.0</v>
      </c>
      <c r="U1155" s="2">
        <v>6968.0</v>
      </c>
      <c r="V1155" s="2">
        <v>0.0</v>
      </c>
      <c r="W1155" s="2">
        <v>1295.0</v>
      </c>
    </row>
    <row r="1156" ht="15.0" customHeight="1">
      <c r="A1156" s="2">
        <v>2025.0</v>
      </c>
      <c r="B1156" s="2" t="s">
        <v>55</v>
      </c>
      <c r="C1156" s="2">
        <v>10.0</v>
      </c>
      <c r="D1156" s="2" t="s">
        <v>77</v>
      </c>
      <c r="E1156" s="2" t="s">
        <v>63</v>
      </c>
      <c r="F1156" s="2" t="s">
        <v>26</v>
      </c>
      <c r="G1156" s="2" t="s">
        <v>32</v>
      </c>
      <c r="H1156" s="2" t="s">
        <v>28</v>
      </c>
      <c r="I1156" s="2" t="s">
        <v>31</v>
      </c>
      <c r="J1156" s="2">
        <v>6379.0</v>
      </c>
      <c r="K1156" s="2">
        <v>3778.0</v>
      </c>
      <c r="L1156" s="2">
        <v>2319.0</v>
      </c>
      <c r="M1156" s="2">
        <v>2130.0</v>
      </c>
      <c r="N1156" s="2">
        <v>1427.0</v>
      </c>
      <c r="O1156" s="2">
        <v>1901.0</v>
      </c>
      <c r="P1156" s="2">
        <v>1714.0</v>
      </c>
      <c r="Q1156" s="2">
        <v>32.0</v>
      </c>
      <c r="R1156" s="2">
        <v>15816.0</v>
      </c>
      <c r="S1156" s="2">
        <v>648.0</v>
      </c>
      <c r="T1156" s="2">
        <v>15167.0</v>
      </c>
      <c r="U1156" s="2">
        <v>648.0</v>
      </c>
      <c r="V1156" s="2">
        <v>0.0</v>
      </c>
      <c r="W1156" s="2">
        <v>15167.0</v>
      </c>
    </row>
    <row r="1157" ht="15.0" customHeight="1">
      <c r="A1157" s="2">
        <v>2025.0</v>
      </c>
      <c r="B1157" s="2" t="s">
        <v>55</v>
      </c>
      <c r="C1157" s="2">
        <v>10.0</v>
      </c>
      <c r="D1157" s="2" t="s">
        <v>77</v>
      </c>
      <c r="E1157" s="2" t="s">
        <v>63</v>
      </c>
      <c r="F1157" s="2" t="s">
        <v>26</v>
      </c>
      <c r="G1157" s="2" t="s">
        <v>33</v>
      </c>
      <c r="H1157" s="2" t="s">
        <v>28</v>
      </c>
      <c r="I1157" s="2" t="s">
        <v>29</v>
      </c>
      <c r="J1157" s="2">
        <v>8008.0</v>
      </c>
      <c r="K1157" s="2">
        <v>4489.0</v>
      </c>
      <c r="L1157" s="2">
        <v>2096.0</v>
      </c>
      <c r="M1157" s="2">
        <v>2012.0</v>
      </c>
      <c r="N1157" s="2">
        <v>1057.0</v>
      </c>
      <c r="O1157" s="2">
        <v>1287.0</v>
      </c>
      <c r="P1157" s="2">
        <v>1228.0</v>
      </c>
      <c r="Q1157" s="2">
        <v>177.0</v>
      </c>
      <c r="R1157" s="2">
        <v>14692.0</v>
      </c>
      <c r="S1157" s="2">
        <v>8466.0</v>
      </c>
      <c r="T1157" s="2">
        <v>6226.0</v>
      </c>
      <c r="U1157" s="2">
        <v>8466.0</v>
      </c>
      <c r="V1157" s="2">
        <v>0.0</v>
      </c>
      <c r="W1157" s="2">
        <v>6226.0</v>
      </c>
    </row>
    <row r="1158" ht="15.0" customHeight="1">
      <c r="A1158" s="2">
        <v>2025.0</v>
      </c>
      <c r="B1158" s="2" t="s">
        <v>55</v>
      </c>
      <c r="C1158" s="2">
        <v>10.0</v>
      </c>
      <c r="D1158" s="2" t="s">
        <v>77</v>
      </c>
      <c r="E1158" s="2" t="s">
        <v>63</v>
      </c>
      <c r="F1158" s="2" t="s">
        <v>26</v>
      </c>
      <c r="G1158" s="2" t="s">
        <v>33</v>
      </c>
      <c r="H1158" s="2" t="s">
        <v>28</v>
      </c>
      <c r="I1158" s="2" t="s">
        <v>30</v>
      </c>
      <c r="J1158" s="2">
        <v>3198.0</v>
      </c>
      <c r="K1158" s="2">
        <v>1579.0</v>
      </c>
      <c r="L1158" s="2">
        <v>694.0</v>
      </c>
      <c r="M1158" s="2">
        <v>660.0</v>
      </c>
      <c r="N1158" s="2">
        <v>328.0</v>
      </c>
      <c r="O1158" s="2">
        <v>401.0</v>
      </c>
      <c r="P1158" s="2">
        <v>376.0</v>
      </c>
      <c r="Q1158" s="2">
        <v>21.0</v>
      </c>
      <c r="R1158" s="2">
        <v>4110.0</v>
      </c>
      <c r="S1158" s="2">
        <v>3126.0</v>
      </c>
      <c r="T1158" s="2">
        <v>984.0</v>
      </c>
      <c r="U1158" s="2">
        <v>3126.0</v>
      </c>
      <c r="V1158" s="2">
        <v>0.0</v>
      </c>
      <c r="W1158" s="2">
        <v>984.0</v>
      </c>
    </row>
    <row r="1159" ht="15.0" customHeight="1">
      <c r="A1159" s="2">
        <v>2025.0</v>
      </c>
      <c r="B1159" s="2" t="s">
        <v>55</v>
      </c>
      <c r="C1159" s="2">
        <v>10.0</v>
      </c>
      <c r="D1159" s="2" t="s">
        <v>77</v>
      </c>
      <c r="E1159" s="2" t="s">
        <v>63</v>
      </c>
      <c r="F1159" s="2" t="s">
        <v>26</v>
      </c>
      <c r="G1159" s="2" t="s">
        <v>33</v>
      </c>
      <c r="H1159" s="2" t="s">
        <v>28</v>
      </c>
      <c r="I1159" s="2" t="s">
        <v>31</v>
      </c>
      <c r="J1159" s="2">
        <v>797.0</v>
      </c>
      <c r="K1159" s="2">
        <v>316.0</v>
      </c>
      <c r="L1159" s="2">
        <v>226.0</v>
      </c>
      <c r="M1159" s="2">
        <v>189.0</v>
      </c>
      <c r="N1159" s="2">
        <v>86.0</v>
      </c>
      <c r="O1159" s="2">
        <v>109.0</v>
      </c>
      <c r="P1159" s="2">
        <v>104.0</v>
      </c>
      <c r="Q1159" s="2">
        <v>14.0</v>
      </c>
      <c r="R1159" s="2">
        <v>1269.0</v>
      </c>
      <c r="S1159" s="2">
        <v>101.0</v>
      </c>
      <c r="T1159" s="2">
        <v>1169.0</v>
      </c>
      <c r="U1159" s="2">
        <v>101.0</v>
      </c>
      <c r="V1159" s="2">
        <v>0.0</v>
      </c>
      <c r="W1159" s="2">
        <v>1169.0</v>
      </c>
    </row>
    <row r="1160" ht="15.0" customHeight="1">
      <c r="A1160" s="2">
        <v>2025.0</v>
      </c>
      <c r="B1160" s="2" t="s">
        <v>55</v>
      </c>
      <c r="C1160" s="2">
        <v>10.0</v>
      </c>
      <c r="D1160" s="2" t="s">
        <v>77</v>
      </c>
      <c r="E1160" s="2" t="s">
        <v>63</v>
      </c>
      <c r="F1160" s="2" t="s">
        <v>26</v>
      </c>
      <c r="G1160" s="2" t="s">
        <v>34</v>
      </c>
      <c r="H1160" s="2" t="s">
        <v>35</v>
      </c>
      <c r="I1160" s="2" t="s">
        <v>29</v>
      </c>
      <c r="J1160" s="2">
        <v>9341.0</v>
      </c>
      <c r="K1160" s="2">
        <v>5978.0</v>
      </c>
      <c r="L1160" s="2">
        <v>3075.0</v>
      </c>
      <c r="M1160" s="2">
        <v>2951.0</v>
      </c>
      <c r="N1160" s="2">
        <v>1057.0</v>
      </c>
      <c r="O1160" s="2">
        <v>1358.0</v>
      </c>
      <c r="P1160" s="2">
        <v>1066.0</v>
      </c>
      <c r="Q1160" s="2">
        <v>0.0</v>
      </c>
      <c r="R1160" s="2">
        <v>15100.0</v>
      </c>
      <c r="S1160" s="2">
        <v>10660.0</v>
      </c>
      <c r="T1160" s="2">
        <v>4440.0</v>
      </c>
      <c r="U1160" s="2">
        <v>8173.0</v>
      </c>
      <c r="V1160" s="2">
        <v>2486.0</v>
      </c>
      <c r="W1160" s="2">
        <v>6926.0</v>
      </c>
    </row>
    <row r="1161" ht="15.0" customHeight="1">
      <c r="A1161" s="2">
        <v>2025.0</v>
      </c>
      <c r="B1161" s="2" t="s">
        <v>55</v>
      </c>
      <c r="C1161" s="2">
        <v>10.0</v>
      </c>
      <c r="D1161" s="2" t="s">
        <v>77</v>
      </c>
      <c r="E1161" s="2" t="s">
        <v>63</v>
      </c>
      <c r="F1161" s="2" t="s">
        <v>26</v>
      </c>
      <c r="G1161" s="2" t="s">
        <v>34</v>
      </c>
      <c r="H1161" s="2" t="s">
        <v>35</v>
      </c>
      <c r="I1161" s="2" t="s">
        <v>30</v>
      </c>
      <c r="J1161" s="2">
        <v>2659.0</v>
      </c>
      <c r="K1161" s="2">
        <v>1423.0</v>
      </c>
      <c r="L1161" s="2">
        <v>562.0</v>
      </c>
      <c r="M1161" s="2">
        <v>536.0</v>
      </c>
      <c r="N1161" s="2">
        <v>220.0</v>
      </c>
      <c r="O1161" s="2">
        <v>294.0</v>
      </c>
      <c r="P1161" s="2">
        <v>234.0</v>
      </c>
      <c r="Q1161" s="2">
        <v>0.0</v>
      </c>
      <c r="R1161" s="2">
        <v>3197.0</v>
      </c>
      <c r="S1161" s="2">
        <v>1658.0</v>
      </c>
      <c r="T1161" s="2">
        <v>1539.0</v>
      </c>
      <c r="U1161" s="2">
        <v>1658.0</v>
      </c>
      <c r="V1161" s="2">
        <v>0.0</v>
      </c>
      <c r="W1161" s="2">
        <v>1539.0</v>
      </c>
    </row>
    <row r="1162" ht="15.0" customHeight="1">
      <c r="A1162" s="2">
        <v>2025.0</v>
      </c>
      <c r="B1162" s="2" t="s">
        <v>55</v>
      </c>
      <c r="C1162" s="2">
        <v>10.0</v>
      </c>
      <c r="D1162" s="2" t="s">
        <v>77</v>
      </c>
      <c r="E1162" s="2" t="s">
        <v>63</v>
      </c>
      <c r="F1162" s="2" t="s">
        <v>26</v>
      </c>
      <c r="G1162" s="2" t="s">
        <v>34</v>
      </c>
      <c r="H1162" s="2" t="s">
        <v>35</v>
      </c>
      <c r="I1162" s="2" t="s">
        <v>31</v>
      </c>
      <c r="J1162" s="2">
        <v>782.0</v>
      </c>
      <c r="K1162" s="2">
        <v>486.0</v>
      </c>
      <c r="L1162" s="2">
        <v>267.0</v>
      </c>
      <c r="M1162" s="2">
        <v>236.0</v>
      </c>
      <c r="N1162" s="2">
        <v>86.0</v>
      </c>
      <c r="O1162" s="2">
        <v>117.0</v>
      </c>
      <c r="P1162" s="2">
        <v>84.0</v>
      </c>
      <c r="Q1162" s="2">
        <v>0.0</v>
      </c>
      <c r="R1162" s="2">
        <v>1186.0</v>
      </c>
      <c r="S1162" s="2">
        <v>35.0</v>
      </c>
      <c r="T1162" s="2">
        <v>1151.0</v>
      </c>
      <c r="U1162" s="2">
        <v>35.0</v>
      </c>
      <c r="V1162" s="2">
        <v>0.0</v>
      </c>
      <c r="W1162" s="2">
        <v>1151.0</v>
      </c>
    </row>
    <row r="1163" ht="15.0" customHeight="1">
      <c r="A1163" s="2">
        <v>2025.0</v>
      </c>
      <c r="B1163" s="2" t="s">
        <v>55</v>
      </c>
      <c r="C1163" s="2">
        <v>10.0</v>
      </c>
      <c r="D1163" s="2" t="s">
        <v>77</v>
      </c>
      <c r="E1163" s="2" t="s">
        <v>63</v>
      </c>
      <c r="F1163" s="2" t="s">
        <v>26</v>
      </c>
      <c r="G1163" s="2" t="s">
        <v>36</v>
      </c>
      <c r="H1163" s="2" t="s">
        <v>35</v>
      </c>
      <c r="I1163" s="2" t="s">
        <v>29</v>
      </c>
      <c r="J1163" s="2">
        <v>6414.0</v>
      </c>
      <c r="K1163" s="2">
        <v>4355.0</v>
      </c>
      <c r="L1163" s="2">
        <v>2625.0</v>
      </c>
      <c r="M1163" s="2">
        <v>2537.0</v>
      </c>
      <c r="N1163" s="2">
        <v>986.0</v>
      </c>
      <c r="O1163" s="2">
        <v>1282.0</v>
      </c>
      <c r="P1163" s="2">
        <v>1025.0</v>
      </c>
      <c r="Q1163" s="2">
        <v>0.0</v>
      </c>
      <c r="R1163" s="2">
        <v>12069.0</v>
      </c>
      <c r="S1163" s="2">
        <v>8366.0</v>
      </c>
      <c r="T1163" s="2">
        <v>3703.0</v>
      </c>
      <c r="U1163" s="2">
        <v>7674.0</v>
      </c>
      <c r="V1163" s="2">
        <v>692.0</v>
      </c>
      <c r="W1163" s="2">
        <v>4395.0</v>
      </c>
    </row>
    <row r="1164" ht="15.0" customHeight="1">
      <c r="A1164" s="2">
        <v>2025.0</v>
      </c>
      <c r="B1164" s="2" t="s">
        <v>55</v>
      </c>
      <c r="C1164" s="2">
        <v>10.0</v>
      </c>
      <c r="D1164" s="2" t="s">
        <v>77</v>
      </c>
      <c r="E1164" s="2" t="s">
        <v>63</v>
      </c>
      <c r="F1164" s="2" t="s">
        <v>26</v>
      </c>
      <c r="G1164" s="2" t="s">
        <v>36</v>
      </c>
      <c r="H1164" s="2" t="s">
        <v>35</v>
      </c>
      <c r="I1164" s="2" t="s">
        <v>30</v>
      </c>
      <c r="J1164" s="2">
        <v>1609.0</v>
      </c>
      <c r="K1164" s="2">
        <v>639.0</v>
      </c>
      <c r="L1164" s="2">
        <v>306.0</v>
      </c>
      <c r="M1164" s="2">
        <v>290.0</v>
      </c>
      <c r="N1164" s="2">
        <v>123.0</v>
      </c>
      <c r="O1164" s="2">
        <v>165.0</v>
      </c>
      <c r="P1164" s="2">
        <v>143.0</v>
      </c>
      <c r="Q1164" s="2">
        <v>0.0</v>
      </c>
      <c r="R1164" s="2">
        <v>1755.0</v>
      </c>
      <c r="S1164" s="2">
        <v>1407.0</v>
      </c>
      <c r="T1164" s="2">
        <v>348.0</v>
      </c>
      <c r="U1164" s="2">
        <v>1407.0</v>
      </c>
      <c r="V1164" s="2">
        <v>0.0</v>
      </c>
      <c r="W1164" s="2">
        <v>348.0</v>
      </c>
    </row>
    <row r="1165" ht="15.0" customHeight="1">
      <c r="A1165" s="2">
        <v>2025.0</v>
      </c>
      <c r="B1165" s="2" t="s">
        <v>55</v>
      </c>
      <c r="C1165" s="2">
        <v>10.0</v>
      </c>
      <c r="D1165" s="2" t="s">
        <v>77</v>
      </c>
      <c r="E1165" s="2" t="s">
        <v>63</v>
      </c>
      <c r="F1165" s="2" t="s">
        <v>26</v>
      </c>
      <c r="G1165" s="2" t="s">
        <v>36</v>
      </c>
      <c r="H1165" s="2" t="s">
        <v>35</v>
      </c>
      <c r="I1165" s="2" t="s">
        <v>31</v>
      </c>
      <c r="J1165" s="2">
        <v>736.0</v>
      </c>
      <c r="K1165" s="2">
        <v>463.0</v>
      </c>
      <c r="L1165" s="2">
        <v>296.0</v>
      </c>
      <c r="M1165" s="2">
        <v>272.0</v>
      </c>
      <c r="N1165" s="2">
        <v>114.0</v>
      </c>
      <c r="O1165" s="2">
        <v>154.0</v>
      </c>
      <c r="P1165" s="2">
        <v>124.0</v>
      </c>
      <c r="Q1165" s="2">
        <v>0.0</v>
      </c>
      <c r="R1165" s="2">
        <v>1375.0</v>
      </c>
      <c r="S1165" s="2">
        <v>14.0</v>
      </c>
      <c r="T1165" s="2">
        <v>1362.0</v>
      </c>
      <c r="U1165" s="2">
        <v>14.0</v>
      </c>
      <c r="V1165" s="2">
        <v>0.0</v>
      </c>
      <c r="W1165" s="2">
        <v>1362.0</v>
      </c>
    </row>
    <row r="1166" ht="15.0" customHeight="1">
      <c r="A1166" s="2">
        <v>2025.0</v>
      </c>
      <c r="B1166" s="2" t="s">
        <v>55</v>
      </c>
      <c r="C1166" s="2">
        <v>10.0</v>
      </c>
      <c r="D1166" s="2" t="s">
        <v>77</v>
      </c>
      <c r="E1166" s="2" t="s">
        <v>63</v>
      </c>
      <c r="F1166" s="2" t="s">
        <v>26</v>
      </c>
      <c r="G1166" s="2" t="s">
        <v>37</v>
      </c>
      <c r="H1166" s="2" t="s">
        <v>35</v>
      </c>
      <c r="I1166" s="2" t="s">
        <v>29</v>
      </c>
      <c r="J1166" s="2">
        <v>1256.0</v>
      </c>
      <c r="K1166" s="2">
        <v>622.0</v>
      </c>
      <c r="L1166" s="2">
        <v>254.0</v>
      </c>
      <c r="M1166" s="2">
        <v>237.0</v>
      </c>
      <c r="N1166" s="2">
        <v>179.0</v>
      </c>
      <c r="O1166" s="2">
        <v>442.0</v>
      </c>
      <c r="P1166" s="2">
        <v>349.0</v>
      </c>
      <c r="Q1166" s="2">
        <v>0.0</v>
      </c>
      <c r="R1166" s="2">
        <v>9511.0</v>
      </c>
      <c r="S1166" s="2">
        <v>5875.0</v>
      </c>
      <c r="T1166" s="2">
        <v>3637.0</v>
      </c>
      <c r="U1166" s="2">
        <v>5875.0</v>
      </c>
      <c r="V1166" s="2">
        <v>0.0</v>
      </c>
      <c r="W1166" s="2">
        <v>3637.0</v>
      </c>
    </row>
    <row r="1167" ht="15.0" customHeight="1">
      <c r="A1167" s="2">
        <v>2025.0</v>
      </c>
      <c r="B1167" s="2" t="s">
        <v>55</v>
      </c>
      <c r="C1167" s="2">
        <v>10.0</v>
      </c>
      <c r="D1167" s="2" t="s">
        <v>77</v>
      </c>
      <c r="E1167" s="2" t="s">
        <v>63</v>
      </c>
      <c r="F1167" s="2" t="s">
        <v>26</v>
      </c>
      <c r="G1167" s="2" t="s">
        <v>37</v>
      </c>
      <c r="H1167" s="2" t="s">
        <v>35</v>
      </c>
      <c r="I1167" s="2" t="s">
        <v>30</v>
      </c>
      <c r="J1167" s="2">
        <v>261.0</v>
      </c>
      <c r="K1167" s="2">
        <v>92.0</v>
      </c>
      <c r="L1167" s="2">
        <v>36.0</v>
      </c>
      <c r="M1167" s="2">
        <v>33.0</v>
      </c>
      <c r="N1167" s="2">
        <v>25.0</v>
      </c>
      <c r="O1167" s="2">
        <v>57.0</v>
      </c>
      <c r="P1167" s="2">
        <v>34.0</v>
      </c>
      <c r="Q1167" s="2">
        <v>0.0</v>
      </c>
      <c r="R1167" s="2">
        <v>1067.0</v>
      </c>
      <c r="S1167" s="2">
        <v>768.0</v>
      </c>
      <c r="T1167" s="2">
        <v>299.0</v>
      </c>
      <c r="U1167" s="2">
        <v>768.0</v>
      </c>
      <c r="V1167" s="2">
        <v>0.0</v>
      </c>
      <c r="W1167" s="2">
        <v>299.0</v>
      </c>
    </row>
    <row r="1168" ht="15.0" customHeight="1">
      <c r="A1168" s="2">
        <v>2025.0</v>
      </c>
      <c r="B1168" s="2" t="s">
        <v>55</v>
      </c>
      <c r="C1168" s="2">
        <v>10.0</v>
      </c>
      <c r="D1168" s="2" t="s">
        <v>77</v>
      </c>
      <c r="E1168" s="2" t="s">
        <v>63</v>
      </c>
      <c r="F1168" s="2" t="s">
        <v>26</v>
      </c>
      <c r="G1168" s="2" t="s">
        <v>37</v>
      </c>
      <c r="H1168" s="2" t="s">
        <v>35</v>
      </c>
      <c r="I1168" s="2" t="s">
        <v>31</v>
      </c>
      <c r="J1168" s="2">
        <v>40.0</v>
      </c>
      <c r="K1168" s="2">
        <v>29.0</v>
      </c>
      <c r="L1168" s="2">
        <v>10.0</v>
      </c>
      <c r="M1168" s="2">
        <v>7.0</v>
      </c>
      <c r="N1168" s="2">
        <v>4.0</v>
      </c>
      <c r="O1168" s="2">
        <v>15.0</v>
      </c>
      <c r="P1168" s="2">
        <v>11.0</v>
      </c>
      <c r="Q1168" s="2">
        <v>0.0</v>
      </c>
      <c r="R1168" s="2">
        <v>302.0</v>
      </c>
      <c r="S1168" s="2">
        <v>0.0</v>
      </c>
      <c r="T1168" s="2">
        <v>302.0</v>
      </c>
      <c r="U1168" s="2">
        <v>0.0</v>
      </c>
      <c r="V1168" s="2">
        <v>0.0</v>
      </c>
      <c r="W1168" s="2">
        <v>302.0</v>
      </c>
    </row>
    <row r="1169" ht="15.0" customHeight="1">
      <c r="A1169" s="2">
        <v>2025.0</v>
      </c>
      <c r="B1169" s="2" t="s">
        <v>55</v>
      </c>
      <c r="C1169" s="2">
        <v>10.0</v>
      </c>
      <c r="D1169" s="2" t="s">
        <v>77</v>
      </c>
      <c r="E1169" s="2" t="s">
        <v>63</v>
      </c>
      <c r="F1169" s="2" t="s">
        <v>26</v>
      </c>
      <c r="G1169" s="2" t="s">
        <v>38</v>
      </c>
      <c r="H1169" s="2" t="s">
        <v>35</v>
      </c>
      <c r="I1169" s="2" t="s">
        <v>29</v>
      </c>
      <c r="J1169" s="2">
        <v>2355.0</v>
      </c>
      <c r="K1169" s="2">
        <v>1330.0</v>
      </c>
      <c r="L1169" s="2">
        <v>755.0</v>
      </c>
      <c r="M1169" s="2">
        <v>727.0</v>
      </c>
      <c r="N1169" s="2">
        <v>482.0</v>
      </c>
      <c r="O1169" s="2">
        <v>746.0</v>
      </c>
      <c r="P1169" s="2">
        <v>569.0</v>
      </c>
      <c r="Q1169" s="2">
        <v>5.0</v>
      </c>
      <c r="R1169" s="2">
        <v>10035.0</v>
      </c>
      <c r="S1169" s="2">
        <v>4132.0</v>
      </c>
      <c r="T1169" s="2">
        <v>5904.0</v>
      </c>
      <c r="U1169" s="2">
        <v>4116.0</v>
      </c>
      <c r="V1169" s="2">
        <v>15.0</v>
      </c>
      <c r="W1169" s="2">
        <v>5919.0</v>
      </c>
    </row>
    <row r="1170" ht="15.0" customHeight="1">
      <c r="A1170" s="2">
        <v>2025.0</v>
      </c>
      <c r="B1170" s="2" t="s">
        <v>55</v>
      </c>
      <c r="C1170" s="2">
        <v>10.0</v>
      </c>
      <c r="D1170" s="2" t="s">
        <v>77</v>
      </c>
      <c r="E1170" s="2" t="s">
        <v>63</v>
      </c>
      <c r="F1170" s="2" t="s">
        <v>26</v>
      </c>
      <c r="G1170" s="2" t="s">
        <v>38</v>
      </c>
      <c r="H1170" s="2" t="s">
        <v>35</v>
      </c>
      <c r="I1170" s="2" t="s">
        <v>30</v>
      </c>
      <c r="J1170" s="2">
        <v>2218.0</v>
      </c>
      <c r="K1170" s="2">
        <v>801.0</v>
      </c>
      <c r="L1170" s="2">
        <v>508.0</v>
      </c>
      <c r="M1170" s="2">
        <v>493.0</v>
      </c>
      <c r="N1170" s="2">
        <v>327.0</v>
      </c>
      <c r="O1170" s="2">
        <v>475.0</v>
      </c>
      <c r="P1170" s="2">
        <v>329.0</v>
      </c>
      <c r="Q1170" s="2">
        <v>0.0</v>
      </c>
      <c r="R1170" s="2">
        <v>5529.0</v>
      </c>
      <c r="S1170" s="2">
        <v>4318.0</v>
      </c>
      <c r="T1170" s="2">
        <v>1211.0</v>
      </c>
      <c r="U1170" s="2">
        <v>4318.0</v>
      </c>
      <c r="V1170" s="2">
        <v>0.0</v>
      </c>
      <c r="W1170" s="2">
        <v>1211.0</v>
      </c>
    </row>
    <row r="1171" ht="15.0" customHeight="1">
      <c r="A1171" s="2">
        <v>2025.0</v>
      </c>
      <c r="B1171" s="2" t="s">
        <v>55</v>
      </c>
      <c r="C1171" s="2">
        <v>10.0</v>
      </c>
      <c r="D1171" s="2" t="s">
        <v>77</v>
      </c>
      <c r="E1171" s="2" t="s">
        <v>63</v>
      </c>
      <c r="F1171" s="2" t="s">
        <v>26</v>
      </c>
      <c r="G1171" s="2" t="s">
        <v>38</v>
      </c>
      <c r="H1171" s="2" t="s">
        <v>35</v>
      </c>
      <c r="I1171" s="2" t="s">
        <v>31</v>
      </c>
      <c r="J1171" s="2">
        <v>719.0</v>
      </c>
      <c r="K1171" s="2">
        <v>391.0</v>
      </c>
      <c r="L1171" s="2">
        <v>198.0</v>
      </c>
      <c r="M1171" s="2">
        <v>181.0</v>
      </c>
      <c r="N1171" s="2">
        <v>129.0</v>
      </c>
      <c r="O1171" s="2">
        <v>194.0</v>
      </c>
      <c r="P1171" s="2">
        <v>128.0</v>
      </c>
      <c r="Q1171" s="2">
        <v>1.0</v>
      </c>
      <c r="R1171" s="2">
        <v>2124.0</v>
      </c>
      <c r="S1171" s="2">
        <v>15.0</v>
      </c>
      <c r="T1171" s="2">
        <v>2108.0</v>
      </c>
      <c r="U1171" s="2">
        <v>15.0</v>
      </c>
      <c r="V1171" s="2">
        <v>0.0</v>
      </c>
      <c r="W1171" s="2">
        <v>2108.0</v>
      </c>
    </row>
    <row r="1172" ht="15.0" customHeight="1">
      <c r="A1172" s="2">
        <v>2025.0</v>
      </c>
      <c r="B1172" s="2" t="s">
        <v>55</v>
      </c>
      <c r="C1172" s="2">
        <v>10.0</v>
      </c>
      <c r="D1172" s="2" t="s">
        <v>77</v>
      </c>
      <c r="E1172" s="2" t="s">
        <v>63</v>
      </c>
      <c r="F1172" s="2" t="s">
        <v>26</v>
      </c>
      <c r="G1172" s="2" t="s">
        <v>39</v>
      </c>
      <c r="H1172" s="2" t="s">
        <v>40</v>
      </c>
      <c r="I1172" s="2" t="s">
        <v>29</v>
      </c>
      <c r="J1172" s="2">
        <v>8456.0</v>
      </c>
      <c r="K1172" s="2">
        <v>5425.0</v>
      </c>
      <c r="L1172" s="2">
        <v>2965.0</v>
      </c>
      <c r="M1172" s="2">
        <v>2803.0</v>
      </c>
      <c r="N1172" s="2">
        <v>1151.0</v>
      </c>
      <c r="O1172" s="2">
        <v>1425.0</v>
      </c>
      <c r="P1172" s="2">
        <v>868.0</v>
      </c>
      <c r="Q1172" s="2">
        <v>0.0</v>
      </c>
      <c r="R1172" s="2">
        <v>12842.0</v>
      </c>
      <c r="S1172" s="2">
        <v>7318.0</v>
      </c>
      <c r="T1172" s="2">
        <v>5524.0</v>
      </c>
      <c r="U1172" s="2">
        <v>7249.0</v>
      </c>
      <c r="V1172" s="2">
        <v>69.0</v>
      </c>
      <c r="W1172" s="2">
        <v>5593.0</v>
      </c>
    </row>
    <row r="1173" ht="15.0" customHeight="1">
      <c r="A1173" s="2">
        <v>2025.0</v>
      </c>
      <c r="B1173" s="2" t="s">
        <v>55</v>
      </c>
      <c r="C1173" s="2">
        <v>10.0</v>
      </c>
      <c r="D1173" s="2" t="s">
        <v>77</v>
      </c>
      <c r="E1173" s="2" t="s">
        <v>63</v>
      </c>
      <c r="F1173" s="2" t="s">
        <v>26</v>
      </c>
      <c r="G1173" s="2" t="s">
        <v>39</v>
      </c>
      <c r="H1173" s="2" t="s">
        <v>40</v>
      </c>
      <c r="I1173" s="2" t="s">
        <v>30</v>
      </c>
      <c r="J1173" s="2">
        <v>2890.0</v>
      </c>
      <c r="K1173" s="2">
        <v>1298.0</v>
      </c>
      <c r="L1173" s="2">
        <v>577.0</v>
      </c>
      <c r="M1173" s="2">
        <v>541.0</v>
      </c>
      <c r="N1173" s="2">
        <v>204.0</v>
      </c>
      <c r="O1173" s="2">
        <v>256.0</v>
      </c>
      <c r="P1173" s="2">
        <v>170.0</v>
      </c>
      <c r="Q1173" s="2">
        <v>0.0</v>
      </c>
      <c r="R1173" s="2">
        <v>2415.0</v>
      </c>
      <c r="S1173" s="2">
        <v>3177.0</v>
      </c>
      <c r="T1173" s="2">
        <v>-763.0</v>
      </c>
      <c r="U1173" s="2">
        <v>3177.0</v>
      </c>
      <c r="V1173" s="2">
        <v>0.0</v>
      </c>
      <c r="W1173" s="2">
        <v>-763.0</v>
      </c>
    </row>
    <row r="1174" ht="15.0" customHeight="1">
      <c r="A1174" s="2">
        <v>2025.0</v>
      </c>
      <c r="B1174" s="2" t="s">
        <v>55</v>
      </c>
      <c r="C1174" s="2">
        <v>10.0</v>
      </c>
      <c r="D1174" s="2" t="s">
        <v>77</v>
      </c>
      <c r="E1174" s="2" t="s">
        <v>63</v>
      </c>
      <c r="F1174" s="2" t="s">
        <v>26</v>
      </c>
      <c r="G1174" s="2" t="s">
        <v>39</v>
      </c>
      <c r="H1174" s="2" t="s">
        <v>40</v>
      </c>
      <c r="I1174" s="2" t="s">
        <v>31</v>
      </c>
      <c r="J1174" s="2">
        <v>3121.0</v>
      </c>
      <c r="K1174" s="2">
        <v>2107.0</v>
      </c>
      <c r="L1174" s="2">
        <v>819.0</v>
      </c>
      <c r="M1174" s="2">
        <v>709.0</v>
      </c>
      <c r="N1174" s="2">
        <v>272.0</v>
      </c>
      <c r="O1174" s="2">
        <v>347.0</v>
      </c>
      <c r="P1174" s="2">
        <v>234.0</v>
      </c>
      <c r="Q1174" s="2">
        <v>0.0</v>
      </c>
      <c r="R1174" s="2">
        <v>3473.0</v>
      </c>
      <c r="S1174" s="2">
        <v>27.0</v>
      </c>
      <c r="T1174" s="2">
        <v>3446.0</v>
      </c>
      <c r="U1174" s="2">
        <v>27.0</v>
      </c>
      <c r="V1174" s="2">
        <v>0.0</v>
      </c>
      <c r="W1174" s="2">
        <v>3446.0</v>
      </c>
    </row>
    <row r="1175" ht="15.0" customHeight="1">
      <c r="A1175" s="2">
        <v>2025.0</v>
      </c>
      <c r="B1175" s="2" t="s">
        <v>55</v>
      </c>
      <c r="C1175" s="2">
        <v>10.0</v>
      </c>
      <c r="D1175" s="2" t="s">
        <v>77</v>
      </c>
      <c r="E1175" s="2" t="s">
        <v>63</v>
      </c>
      <c r="F1175" s="2" t="s">
        <v>26</v>
      </c>
      <c r="G1175" s="2" t="s">
        <v>41</v>
      </c>
      <c r="H1175" s="2" t="s">
        <v>42</v>
      </c>
      <c r="I1175" s="2" t="s">
        <v>29</v>
      </c>
      <c r="J1175" s="2">
        <v>18106.0</v>
      </c>
      <c r="K1175" s="2">
        <v>9758.0</v>
      </c>
      <c r="L1175" s="2">
        <v>5677.0</v>
      </c>
      <c r="M1175" s="2">
        <v>5304.0</v>
      </c>
      <c r="N1175" s="2">
        <v>2888.0</v>
      </c>
      <c r="O1175" s="2">
        <v>3581.0</v>
      </c>
      <c r="P1175" s="2">
        <v>2949.0</v>
      </c>
      <c r="Q1175" s="2">
        <v>0.0</v>
      </c>
      <c r="R1175" s="2">
        <v>24979.0</v>
      </c>
      <c r="S1175" s="2">
        <v>15578.0</v>
      </c>
      <c r="T1175" s="2">
        <v>9402.0</v>
      </c>
      <c r="U1175" s="2">
        <v>15079.0</v>
      </c>
      <c r="V1175" s="2">
        <v>498.0</v>
      </c>
      <c r="W1175" s="2">
        <v>9900.0</v>
      </c>
    </row>
    <row r="1176" ht="15.0" customHeight="1">
      <c r="A1176" s="2">
        <v>2025.0</v>
      </c>
      <c r="B1176" s="2" t="s">
        <v>55</v>
      </c>
      <c r="C1176" s="2">
        <v>10.0</v>
      </c>
      <c r="D1176" s="2" t="s">
        <v>77</v>
      </c>
      <c r="E1176" s="2" t="s">
        <v>63</v>
      </c>
      <c r="F1176" s="2" t="s">
        <v>26</v>
      </c>
      <c r="G1176" s="2" t="s">
        <v>41</v>
      </c>
      <c r="H1176" s="2" t="s">
        <v>42</v>
      </c>
      <c r="I1176" s="2" t="s">
        <v>30</v>
      </c>
      <c r="J1176" s="2">
        <v>14821.0</v>
      </c>
      <c r="K1176" s="2">
        <v>6090.0</v>
      </c>
      <c r="L1176" s="2">
        <v>3247.0</v>
      </c>
      <c r="M1176" s="2">
        <v>3090.0</v>
      </c>
      <c r="N1176" s="2">
        <v>1565.0</v>
      </c>
      <c r="O1176" s="2">
        <v>1992.0</v>
      </c>
      <c r="P1176" s="2">
        <v>1608.0</v>
      </c>
      <c r="Q1176" s="2">
        <v>1.0</v>
      </c>
      <c r="R1176" s="2">
        <v>12449.0</v>
      </c>
      <c r="S1176" s="2">
        <v>12338.0</v>
      </c>
      <c r="T1176" s="2">
        <v>111.0</v>
      </c>
      <c r="U1176" s="2">
        <v>12338.0</v>
      </c>
      <c r="V1176" s="2">
        <v>0.0</v>
      </c>
      <c r="W1176" s="2">
        <v>111.0</v>
      </c>
    </row>
    <row r="1177" ht="15.0" customHeight="1">
      <c r="A1177" s="2">
        <v>2025.0</v>
      </c>
      <c r="B1177" s="2" t="s">
        <v>55</v>
      </c>
      <c r="C1177" s="2">
        <v>10.0</v>
      </c>
      <c r="D1177" s="2" t="s">
        <v>77</v>
      </c>
      <c r="E1177" s="2" t="s">
        <v>63</v>
      </c>
      <c r="F1177" s="2" t="s">
        <v>26</v>
      </c>
      <c r="G1177" s="2" t="s">
        <v>41</v>
      </c>
      <c r="H1177" s="2" t="s">
        <v>42</v>
      </c>
      <c r="I1177" s="2" t="s">
        <v>31</v>
      </c>
      <c r="J1177" s="2">
        <v>18208.0</v>
      </c>
      <c r="K1177" s="2">
        <v>8462.0</v>
      </c>
      <c r="L1177" s="2">
        <v>6575.0</v>
      </c>
      <c r="M1177" s="2">
        <v>5806.0</v>
      </c>
      <c r="N1177" s="2">
        <v>2878.0</v>
      </c>
      <c r="O1177" s="2">
        <v>3680.0</v>
      </c>
      <c r="P1177" s="2">
        <v>3013.0</v>
      </c>
      <c r="Q1177" s="2">
        <v>0.0</v>
      </c>
      <c r="R1177" s="2">
        <v>24691.0</v>
      </c>
      <c r="S1177" s="2">
        <v>764.0</v>
      </c>
      <c r="T1177" s="2">
        <v>23926.0</v>
      </c>
      <c r="U1177" s="2">
        <v>764.0</v>
      </c>
      <c r="V1177" s="2">
        <v>0.0</v>
      </c>
      <c r="W1177" s="2">
        <v>23926.0</v>
      </c>
    </row>
    <row r="1178" ht="15.0" customHeight="1">
      <c r="A1178" s="2">
        <v>2025.0</v>
      </c>
      <c r="B1178" s="2" t="s">
        <v>55</v>
      </c>
      <c r="C1178" s="2">
        <v>10.0</v>
      </c>
      <c r="D1178" s="2" t="s">
        <v>77</v>
      </c>
      <c r="E1178" s="2" t="s">
        <v>63</v>
      </c>
      <c r="F1178" s="2" t="s">
        <v>26</v>
      </c>
      <c r="G1178" s="2" t="s">
        <v>43</v>
      </c>
      <c r="H1178" s="2" t="s">
        <v>42</v>
      </c>
      <c r="I1178" s="2" t="s">
        <v>29</v>
      </c>
      <c r="J1178" s="2">
        <v>2854.0</v>
      </c>
      <c r="K1178" s="2">
        <v>1302.0</v>
      </c>
      <c r="L1178" s="2">
        <v>691.0</v>
      </c>
      <c r="M1178" s="2">
        <v>645.0</v>
      </c>
      <c r="N1178" s="2">
        <v>271.0</v>
      </c>
      <c r="O1178" s="2">
        <v>482.0</v>
      </c>
      <c r="P1178" s="2">
        <v>345.0</v>
      </c>
      <c r="Q1178" s="2">
        <v>0.0</v>
      </c>
      <c r="R1178" s="2">
        <v>11866.0</v>
      </c>
      <c r="S1178" s="2">
        <v>9686.0</v>
      </c>
      <c r="T1178" s="2">
        <v>2181.0</v>
      </c>
      <c r="U1178" s="2">
        <v>8192.0</v>
      </c>
      <c r="V1178" s="2">
        <v>1494.0</v>
      </c>
      <c r="W1178" s="2">
        <v>3674.0</v>
      </c>
    </row>
    <row r="1179" ht="15.0" customHeight="1">
      <c r="A1179" s="2">
        <v>2025.0</v>
      </c>
      <c r="B1179" s="2" t="s">
        <v>55</v>
      </c>
      <c r="C1179" s="2">
        <v>10.0</v>
      </c>
      <c r="D1179" s="2" t="s">
        <v>77</v>
      </c>
      <c r="E1179" s="2" t="s">
        <v>63</v>
      </c>
      <c r="F1179" s="2" t="s">
        <v>26</v>
      </c>
      <c r="G1179" s="2" t="s">
        <v>43</v>
      </c>
      <c r="H1179" s="2" t="s">
        <v>42</v>
      </c>
      <c r="I1179" s="2" t="s">
        <v>30</v>
      </c>
      <c r="J1179" s="2">
        <v>28655.0</v>
      </c>
      <c r="K1179" s="2">
        <v>277.0</v>
      </c>
      <c r="L1179" s="2">
        <v>131.0</v>
      </c>
      <c r="M1179" s="2">
        <v>124.0</v>
      </c>
      <c r="N1179" s="2">
        <v>28.0</v>
      </c>
      <c r="O1179" s="2">
        <v>63.0</v>
      </c>
      <c r="P1179" s="2">
        <v>46.0</v>
      </c>
      <c r="Q1179" s="2">
        <v>0.0</v>
      </c>
      <c r="R1179" s="2">
        <v>1621.0</v>
      </c>
      <c r="S1179" s="2">
        <v>5039.0</v>
      </c>
      <c r="T1179" s="2">
        <v>-3418.0</v>
      </c>
      <c r="U1179" s="2">
        <v>5039.0</v>
      </c>
      <c r="V1179" s="2">
        <v>0.0</v>
      </c>
      <c r="W1179" s="2">
        <v>-3418.0</v>
      </c>
    </row>
    <row r="1180" ht="15.0" customHeight="1">
      <c r="A1180" s="2">
        <v>2025.0</v>
      </c>
      <c r="B1180" s="2" t="s">
        <v>55</v>
      </c>
      <c r="C1180" s="2">
        <v>10.0</v>
      </c>
      <c r="D1180" s="2" t="s">
        <v>77</v>
      </c>
      <c r="E1180" s="2" t="s">
        <v>63</v>
      </c>
      <c r="F1180" s="2" t="s">
        <v>26</v>
      </c>
      <c r="G1180" s="2" t="s">
        <v>43</v>
      </c>
      <c r="H1180" s="2" t="s">
        <v>42</v>
      </c>
      <c r="I1180" s="2" t="s">
        <v>31</v>
      </c>
      <c r="J1180" s="2">
        <v>382.0</v>
      </c>
      <c r="K1180" s="2">
        <v>255.0</v>
      </c>
      <c r="L1180" s="2">
        <v>143.0</v>
      </c>
      <c r="M1180" s="2">
        <v>111.0</v>
      </c>
      <c r="N1180" s="2">
        <v>38.0</v>
      </c>
      <c r="O1180" s="2">
        <v>71.0</v>
      </c>
      <c r="P1180" s="2">
        <v>55.0</v>
      </c>
      <c r="Q1180" s="2">
        <v>0.0</v>
      </c>
      <c r="R1180" s="2">
        <v>1963.0</v>
      </c>
      <c r="S1180" s="2">
        <v>62.0</v>
      </c>
      <c r="T1180" s="2">
        <v>1900.0</v>
      </c>
      <c r="U1180" s="2">
        <v>62.0</v>
      </c>
      <c r="V1180" s="2">
        <v>0.0</v>
      </c>
      <c r="W1180" s="2">
        <v>1900.0</v>
      </c>
    </row>
    <row r="1181" ht="15.0" customHeight="1">
      <c r="A1181" s="2">
        <v>2025.0</v>
      </c>
      <c r="B1181" s="2" t="s">
        <v>55</v>
      </c>
      <c r="C1181" s="2">
        <v>10.0</v>
      </c>
      <c r="D1181" s="2" t="s">
        <v>77</v>
      </c>
      <c r="E1181" s="2" t="s">
        <v>63</v>
      </c>
      <c r="F1181" s="2" t="s">
        <v>26</v>
      </c>
      <c r="G1181" s="2" t="s">
        <v>44</v>
      </c>
      <c r="H1181" s="2" t="s">
        <v>45</v>
      </c>
      <c r="I1181" s="2" t="s">
        <v>29</v>
      </c>
      <c r="J1181" s="2">
        <v>6524.0</v>
      </c>
      <c r="K1181" s="2">
        <v>3335.0</v>
      </c>
      <c r="L1181" s="2">
        <v>1085.0</v>
      </c>
      <c r="M1181" s="2">
        <v>1040.0</v>
      </c>
      <c r="N1181" s="2">
        <v>919.0</v>
      </c>
      <c r="O1181" s="2">
        <v>1662.0</v>
      </c>
      <c r="P1181" s="2">
        <v>1332.0</v>
      </c>
      <c r="Q1181" s="2">
        <v>746.0</v>
      </c>
      <c r="R1181" s="2">
        <v>50062.0</v>
      </c>
      <c r="S1181" s="2">
        <v>33909.0</v>
      </c>
      <c r="T1181" s="2">
        <v>16153.0</v>
      </c>
      <c r="U1181" s="2">
        <v>32478.0</v>
      </c>
      <c r="V1181" s="2">
        <v>1430.0</v>
      </c>
      <c r="W1181" s="2">
        <v>17584.0</v>
      </c>
    </row>
    <row r="1182" ht="15.0" customHeight="1">
      <c r="A1182" s="2">
        <v>2025.0</v>
      </c>
      <c r="B1182" s="2" t="s">
        <v>55</v>
      </c>
      <c r="C1182" s="2">
        <v>10.0</v>
      </c>
      <c r="D1182" s="2" t="s">
        <v>77</v>
      </c>
      <c r="E1182" s="2" t="s">
        <v>63</v>
      </c>
      <c r="F1182" s="2" t="s">
        <v>26</v>
      </c>
      <c r="G1182" s="2" t="s">
        <v>44</v>
      </c>
      <c r="H1182" s="2" t="s">
        <v>45</v>
      </c>
      <c r="I1182" s="2" t="s">
        <v>30</v>
      </c>
      <c r="J1182" s="2">
        <v>11302.0</v>
      </c>
      <c r="K1182" s="2">
        <v>1365.0</v>
      </c>
      <c r="L1182" s="2">
        <v>370.0</v>
      </c>
      <c r="M1182" s="2">
        <v>345.0</v>
      </c>
      <c r="N1182" s="2">
        <v>278.0</v>
      </c>
      <c r="O1182" s="2">
        <v>504.0</v>
      </c>
      <c r="P1182" s="2">
        <v>409.0</v>
      </c>
      <c r="Q1182" s="2">
        <v>217.0</v>
      </c>
      <c r="R1182" s="2">
        <v>14103.0</v>
      </c>
      <c r="S1182" s="2">
        <v>9412.0</v>
      </c>
      <c r="T1182" s="2">
        <v>4691.0</v>
      </c>
      <c r="U1182" s="2">
        <v>9412.0</v>
      </c>
      <c r="V1182" s="2">
        <v>0.0</v>
      </c>
      <c r="W1182" s="2">
        <v>4691.0</v>
      </c>
    </row>
    <row r="1183" ht="15.0" customHeight="1">
      <c r="A1183" s="2">
        <v>2025.0</v>
      </c>
      <c r="B1183" s="2" t="s">
        <v>55</v>
      </c>
      <c r="C1183" s="2">
        <v>10.0</v>
      </c>
      <c r="D1183" s="2" t="s">
        <v>77</v>
      </c>
      <c r="E1183" s="2" t="s">
        <v>63</v>
      </c>
      <c r="F1183" s="2" t="s">
        <v>26</v>
      </c>
      <c r="G1183" s="2" t="s">
        <v>44</v>
      </c>
      <c r="H1183" s="2" t="s">
        <v>45</v>
      </c>
      <c r="I1183" s="2" t="s">
        <v>31</v>
      </c>
      <c r="J1183" s="2">
        <v>5738.0</v>
      </c>
      <c r="K1183" s="2">
        <v>703.0</v>
      </c>
      <c r="L1183" s="2">
        <v>257.0</v>
      </c>
      <c r="M1183" s="2">
        <v>223.0</v>
      </c>
      <c r="N1183" s="2">
        <v>202.0</v>
      </c>
      <c r="O1183" s="2">
        <v>393.0</v>
      </c>
      <c r="P1183" s="2">
        <v>337.0</v>
      </c>
      <c r="Q1183" s="2">
        <v>148.0</v>
      </c>
      <c r="R1183" s="2">
        <v>11312.0</v>
      </c>
      <c r="S1183" s="2">
        <v>292.0</v>
      </c>
      <c r="T1183" s="2">
        <v>11021.0</v>
      </c>
      <c r="U1183" s="2">
        <v>292.0</v>
      </c>
      <c r="V1183" s="2">
        <v>0.0</v>
      </c>
      <c r="W1183" s="2">
        <v>11021.0</v>
      </c>
    </row>
    <row r="1184" ht="15.0" customHeight="1">
      <c r="A1184" s="2">
        <v>2025.0</v>
      </c>
      <c r="B1184" s="2" t="s">
        <v>55</v>
      </c>
      <c r="C1184" s="2">
        <v>10.0</v>
      </c>
      <c r="D1184" s="2" t="s">
        <v>77</v>
      </c>
      <c r="E1184" s="2" t="s">
        <v>63</v>
      </c>
      <c r="F1184" s="2" t="s">
        <v>26</v>
      </c>
      <c r="G1184" s="2" t="s">
        <v>46</v>
      </c>
      <c r="H1184" s="2" t="s">
        <v>47</v>
      </c>
      <c r="I1184" s="2" t="s">
        <v>29</v>
      </c>
      <c r="J1184" s="2">
        <v>4573.0</v>
      </c>
      <c r="K1184" s="2">
        <v>2283.0</v>
      </c>
      <c r="L1184" s="2">
        <v>912.0</v>
      </c>
      <c r="M1184" s="2">
        <v>872.0</v>
      </c>
      <c r="N1184" s="2">
        <v>814.0</v>
      </c>
      <c r="O1184" s="2">
        <v>1436.0</v>
      </c>
      <c r="P1184" s="2">
        <v>842.0</v>
      </c>
      <c r="Q1184" s="2">
        <v>83.0</v>
      </c>
      <c r="R1184" s="2">
        <v>33528.0</v>
      </c>
      <c r="S1184" s="2">
        <v>24296.0</v>
      </c>
      <c r="T1184" s="2">
        <v>9232.0</v>
      </c>
      <c r="U1184" s="2">
        <v>24219.0</v>
      </c>
      <c r="V1184" s="2">
        <v>77.0</v>
      </c>
      <c r="W1184" s="2">
        <v>9309.0</v>
      </c>
    </row>
    <row r="1185" ht="15.0" customHeight="1">
      <c r="A1185" s="2">
        <v>2025.0</v>
      </c>
      <c r="B1185" s="2" t="s">
        <v>55</v>
      </c>
      <c r="C1185" s="2">
        <v>10.0</v>
      </c>
      <c r="D1185" s="2" t="s">
        <v>77</v>
      </c>
      <c r="E1185" s="2" t="s">
        <v>63</v>
      </c>
      <c r="F1185" s="2" t="s">
        <v>26</v>
      </c>
      <c r="G1185" s="2" t="s">
        <v>46</v>
      </c>
      <c r="H1185" s="2" t="s">
        <v>47</v>
      </c>
      <c r="I1185" s="2" t="s">
        <v>30</v>
      </c>
      <c r="J1185" s="2">
        <v>1332.0</v>
      </c>
      <c r="K1185" s="2">
        <v>371.0</v>
      </c>
      <c r="L1185" s="2">
        <v>149.0</v>
      </c>
      <c r="M1185" s="2">
        <v>143.0</v>
      </c>
      <c r="N1185" s="2">
        <v>131.0</v>
      </c>
      <c r="O1185" s="2">
        <v>255.0</v>
      </c>
      <c r="P1185" s="2">
        <v>156.0</v>
      </c>
      <c r="Q1185" s="2">
        <v>16.0</v>
      </c>
      <c r="R1185" s="2">
        <v>5909.0</v>
      </c>
      <c r="S1185" s="2">
        <v>3627.0</v>
      </c>
      <c r="T1185" s="2">
        <v>2283.0</v>
      </c>
      <c r="U1185" s="2">
        <v>3627.0</v>
      </c>
      <c r="V1185" s="2">
        <v>0.0</v>
      </c>
      <c r="W1185" s="2">
        <v>2283.0</v>
      </c>
    </row>
    <row r="1186" ht="15.0" customHeight="1">
      <c r="A1186" s="2">
        <v>2025.0</v>
      </c>
      <c r="B1186" s="2" t="s">
        <v>55</v>
      </c>
      <c r="C1186" s="2">
        <v>10.0</v>
      </c>
      <c r="D1186" s="2" t="s">
        <v>77</v>
      </c>
      <c r="E1186" s="2" t="s">
        <v>63</v>
      </c>
      <c r="F1186" s="2" t="s">
        <v>26</v>
      </c>
      <c r="G1186" s="2" t="s">
        <v>46</v>
      </c>
      <c r="H1186" s="2" t="s">
        <v>47</v>
      </c>
      <c r="I1186" s="2" t="s">
        <v>31</v>
      </c>
      <c r="J1186" s="2">
        <v>1789.0</v>
      </c>
      <c r="K1186" s="2">
        <v>893.0</v>
      </c>
      <c r="L1186" s="2">
        <v>249.0</v>
      </c>
      <c r="M1186" s="2">
        <v>182.0</v>
      </c>
      <c r="N1186" s="2">
        <v>169.0</v>
      </c>
      <c r="O1186" s="2">
        <v>346.0</v>
      </c>
      <c r="P1186" s="2">
        <v>209.0</v>
      </c>
      <c r="Q1186" s="2">
        <v>35.0</v>
      </c>
      <c r="R1186" s="2">
        <v>10254.0</v>
      </c>
      <c r="S1186" s="2">
        <v>367.0</v>
      </c>
      <c r="T1186" s="2">
        <v>9888.0</v>
      </c>
      <c r="U1186" s="2">
        <v>367.0</v>
      </c>
      <c r="V1186" s="2">
        <v>0.0</v>
      </c>
      <c r="W1186" s="2">
        <v>9888.0</v>
      </c>
    </row>
    <row r="1187" ht="15.0" customHeight="1">
      <c r="A1187" s="2">
        <v>2025.0</v>
      </c>
      <c r="B1187" s="2" t="s">
        <v>55</v>
      </c>
      <c r="C1187" s="2">
        <v>10.0</v>
      </c>
      <c r="D1187" s="2" t="s">
        <v>77</v>
      </c>
      <c r="E1187" s="2" t="s">
        <v>63</v>
      </c>
      <c r="F1187" s="2" t="s">
        <v>48</v>
      </c>
      <c r="G1187" s="2" t="s">
        <v>27</v>
      </c>
      <c r="H1187" s="2" t="s">
        <v>28</v>
      </c>
      <c r="I1187" s="2" t="s">
        <v>29</v>
      </c>
      <c r="J1187" s="2">
        <v>4379.0</v>
      </c>
      <c r="K1187" s="2">
        <v>2130.0</v>
      </c>
      <c r="L1187" s="2">
        <v>777.0</v>
      </c>
      <c r="M1187" s="2">
        <v>748.0</v>
      </c>
      <c r="N1187" s="2">
        <v>484.0</v>
      </c>
      <c r="O1187" s="2">
        <v>773.0</v>
      </c>
      <c r="P1187" s="2">
        <v>508.0</v>
      </c>
      <c r="Q1187" s="2">
        <v>0.0</v>
      </c>
      <c r="R1187" s="2">
        <v>16848.0</v>
      </c>
      <c r="S1187" s="2">
        <v>14163.0</v>
      </c>
      <c r="T1187" s="2">
        <v>2685.0</v>
      </c>
      <c r="U1187" s="2">
        <v>12563.0</v>
      </c>
      <c r="V1187" s="2">
        <v>1600.0</v>
      </c>
      <c r="W1187" s="2">
        <v>4285.0</v>
      </c>
    </row>
    <row r="1188" ht="15.0" customHeight="1">
      <c r="A1188" s="2">
        <v>2025.0</v>
      </c>
      <c r="B1188" s="2" t="s">
        <v>55</v>
      </c>
      <c r="C1188" s="2">
        <v>10.0</v>
      </c>
      <c r="D1188" s="2" t="s">
        <v>77</v>
      </c>
      <c r="E1188" s="2" t="s">
        <v>63</v>
      </c>
      <c r="F1188" s="2" t="s">
        <v>48</v>
      </c>
      <c r="G1188" s="2" t="s">
        <v>27</v>
      </c>
      <c r="H1188" s="2" t="s">
        <v>28</v>
      </c>
      <c r="I1188" s="2" t="s">
        <v>30</v>
      </c>
      <c r="J1188" s="2">
        <v>4528.0</v>
      </c>
      <c r="K1188" s="2">
        <v>1619.0</v>
      </c>
      <c r="L1188" s="2">
        <v>855.0</v>
      </c>
      <c r="M1188" s="2">
        <v>689.0</v>
      </c>
      <c r="N1188" s="2">
        <v>410.0</v>
      </c>
      <c r="O1188" s="2">
        <v>666.0</v>
      </c>
      <c r="P1188" s="2">
        <v>420.0</v>
      </c>
      <c r="Q1188" s="2">
        <v>0.0</v>
      </c>
      <c r="R1188" s="2">
        <v>13743.0</v>
      </c>
      <c r="S1188" s="2">
        <v>11483.0</v>
      </c>
      <c r="T1188" s="2">
        <v>2261.0</v>
      </c>
      <c r="U1188" s="2">
        <v>11483.0</v>
      </c>
      <c r="V1188" s="2">
        <v>0.0</v>
      </c>
      <c r="W1188" s="2">
        <v>2261.0</v>
      </c>
    </row>
    <row r="1189" ht="15.0" customHeight="1">
      <c r="A1189" s="2">
        <v>2025.0</v>
      </c>
      <c r="B1189" s="2" t="s">
        <v>55</v>
      </c>
      <c r="C1189" s="2">
        <v>10.0</v>
      </c>
      <c r="D1189" s="2" t="s">
        <v>77</v>
      </c>
      <c r="E1189" s="2" t="s">
        <v>63</v>
      </c>
      <c r="F1189" s="2" t="s">
        <v>48</v>
      </c>
      <c r="G1189" s="2" t="s">
        <v>27</v>
      </c>
      <c r="H1189" s="2" t="s">
        <v>28</v>
      </c>
      <c r="I1189" s="2" t="s">
        <v>31</v>
      </c>
      <c r="J1189" s="2">
        <v>283.0</v>
      </c>
      <c r="K1189" s="2">
        <v>221.0</v>
      </c>
      <c r="L1189" s="2">
        <v>244.0</v>
      </c>
      <c r="M1189" s="2">
        <v>217.0</v>
      </c>
      <c r="N1189" s="2">
        <v>118.0</v>
      </c>
      <c r="O1189" s="2">
        <v>187.0</v>
      </c>
      <c r="P1189" s="2">
        <v>114.0</v>
      </c>
      <c r="Q1189" s="2">
        <v>0.0</v>
      </c>
      <c r="R1189" s="2">
        <v>3809.0</v>
      </c>
      <c r="S1189" s="2">
        <v>878.0</v>
      </c>
      <c r="T1189" s="2">
        <v>2932.0</v>
      </c>
      <c r="U1189" s="2">
        <v>878.0</v>
      </c>
      <c r="V1189" s="2">
        <v>0.0</v>
      </c>
      <c r="W1189" s="2">
        <v>2932.0</v>
      </c>
    </row>
    <row r="1190" ht="15.0" customHeight="1">
      <c r="A1190" s="2">
        <v>2025.0</v>
      </c>
      <c r="B1190" s="2" t="s">
        <v>55</v>
      </c>
      <c r="C1190" s="2">
        <v>10.0</v>
      </c>
      <c r="D1190" s="2" t="s">
        <v>77</v>
      </c>
      <c r="E1190" s="2" t="s">
        <v>63</v>
      </c>
      <c r="F1190" s="2" t="s">
        <v>48</v>
      </c>
      <c r="G1190" s="2" t="s">
        <v>32</v>
      </c>
      <c r="H1190" s="2" t="s">
        <v>28</v>
      </c>
      <c r="I1190" s="2" t="s">
        <v>29</v>
      </c>
      <c r="J1190" s="2">
        <v>318.0</v>
      </c>
      <c r="K1190" s="2">
        <v>170.0</v>
      </c>
      <c r="L1190" s="2">
        <v>79.0</v>
      </c>
      <c r="M1190" s="2">
        <v>74.0</v>
      </c>
      <c r="N1190" s="2">
        <v>32.0</v>
      </c>
      <c r="O1190" s="2">
        <v>40.0</v>
      </c>
      <c r="P1190" s="2">
        <v>31.0</v>
      </c>
      <c r="Q1190" s="2">
        <v>0.0</v>
      </c>
      <c r="R1190" s="2">
        <v>476.0</v>
      </c>
      <c r="S1190" s="2">
        <v>245.0</v>
      </c>
      <c r="T1190" s="2">
        <v>230.0</v>
      </c>
      <c r="U1190" s="2">
        <v>245.0</v>
      </c>
      <c r="V1190" s="2">
        <v>0.0</v>
      </c>
      <c r="W1190" s="2">
        <v>230.0</v>
      </c>
    </row>
    <row r="1191" ht="15.0" customHeight="1">
      <c r="A1191" s="2">
        <v>2025.0</v>
      </c>
      <c r="B1191" s="2" t="s">
        <v>55</v>
      </c>
      <c r="C1191" s="2">
        <v>10.0</v>
      </c>
      <c r="D1191" s="2" t="s">
        <v>77</v>
      </c>
      <c r="E1191" s="2" t="s">
        <v>63</v>
      </c>
      <c r="F1191" s="2" t="s">
        <v>48</v>
      </c>
      <c r="G1191" s="2" t="s">
        <v>32</v>
      </c>
      <c r="H1191" s="2" t="s">
        <v>28</v>
      </c>
      <c r="I1191" s="2" t="s">
        <v>30</v>
      </c>
      <c r="J1191" s="2">
        <v>681.0</v>
      </c>
      <c r="K1191" s="2">
        <v>220.0</v>
      </c>
      <c r="L1191" s="2">
        <v>126.0</v>
      </c>
      <c r="M1191" s="2">
        <v>115.0</v>
      </c>
      <c r="N1191" s="2">
        <v>38.0</v>
      </c>
      <c r="O1191" s="2">
        <v>44.0</v>
      </c>
      <c r="P1191" s="2">
        <v>32.0</v>
      </c>
      <c r="Q1191" s="2">
        <v>0.0</v>
      </c>
      <c r="R1191" s="2">
        <v>508.0</v>
      </c>
      <c r="S1191" s="2">
        <v>731.0</v>
      </c>
      <c r="T1191" s="2">
        <v>-223.0</v>
      </c>
      <c r="U1191" s="2">
        <v>731.0</v>
      </c>
      <c r="V1191" s="2">
        <v>0.0</v>
      </c>
      <c r="W1191" s="2">
        <v>-223.0</v>
      </c>
    </row>
    <row r="1192" ht="15.0" customHeight="1">
      <c r="A1192" s="2">
        <v>2025.0</v>
      </c>
      <c r="B1192" s="2" t="s">
        <v>55</v>
      </c>
      <c r="C1192" s="2">
        <v>10.0</v>
      </c>
      <c r="D1192" s="2" t="s">
        <v>77</v>
      </c>
      <c r="E1192" s="2" t="s">
        <v>63</v>
      </c>
      <c r="F1192" s="2" t="s">
        <v>48</v>
      </c>
      <c r="G1192" s="2" t="s">
        <v>32</v>
      </c>
      <c r="H1192" s="2" t="s">
        <v>28</v>
      </c>
      <c r="I1192" s="2" t="s">
        <v>31</v>
      </c>
      <c r="J1192" s="2">
        <v>569.0</v>
      </c>
      <c r="K1192" s="2">
        <v>246.0</v>
      </c>
      <c r="L1192" s="2">
        <v>139.0</v>
      </c>
      <c r="M1192" s="2">
        <v>124.0</v>
      </c>
      <c r="N1192" s="2">
        <v>35.0</v>
      </c>
      <c r="O1192" s="2">
        <v>42.0</v>
      </c>
      <c r="P1192" s="2">
        <v>32.0</v>
      </c>
      <c r="Q1192" s="2">
        <v>0.0</v>
      </c>
      <c r="R1192" s="2">
        <v>480.0</v>
      </c>
      <c r="S1192" s="2">
        <v>0.0</v>
      </c>
      <c r="T1192" s="2">
        <v>480.0</v>
      </c>
      <c r="U1192" s="2">
        <v>0.0</v>
      </c>
      <c r="V1192" s="2">
        <v>0.0</v>
      </c>
      <c r="W1192" s="2">
        <v>480.0</v>
      </c>
    </row>
    <row r="1193" ht="15.0" customHeight="1">
      <c r="A1193" s="2">
        <v>2025.0</v>
      </c>
      <c r="B1193" s="2" t="s">
        <v>55</v>
      </c>
      <c r="C1193" s="2">
        <v>10.0</v>
      </c>
      <c r="D1193" s="2" t="s">
        <v>77</v>
      </c>
      <c r="E1193" s="2" t="s">
        <v>63</v>
      </c>
      <c r="F1193" s="2" t="s">
        <v>48</v>
      </c>
      <c r="G1193" s="2" t="s">
        <v>33</v>
      </c>
      <c r="H1193" s="2" t="s">
        <v>28</v>
      </c>
      <c r="I1193" s="2" t="s">
        <v>29</v>
      </c>
      <c r="J1193" s="2">
        <v>1181.0</v>
      </c>
      <c r="K1193" s="2">
        <v>625.0</v>
      </c>
      <c r="L1193" s="2">
        <v>283.0</v>
      </c>
      <c r="M1193" s="2">
        <v>260.0</v>
      </c>
      <c r="N1193" s="2">
        <v>81.0</v>
      </c>
      <c r="O1193" s="2">
        <v>92.0</v>
      </c>
      <c r="P1193" s="2">
        <v>87.0</v>
      </c>
      <c r="Q1193" s="2">
        <v>41.0</v>
      </c>
      <c r="R1193" s="2">
        <v>2290.0</v>
      </c>
      <c r="S1193" s="2">
        <v>2931.0</v>
      </c>
      <c r="T1193" s="2">
        <v>-641.0</v>
      </c>
      <c r="U1193" s="2">
        <v>2892.0</v>
      </c>
      <c r="V1193" s="2">
        <v>39.0</v>
      </c>
      <c r="W1193" s="2">
        <v>-602.0</v>
      </c>
    </row>
    <row r="1194" ht="15.0" customHeight="1">
      <c r="A1194" s="2">
        <v>2025.0</v>
      </c>
      <c r="B1194" s="2" t="s">
        <v>55</v>
      </c>
      <c r="C1194" s="2">
        <v>10.0</v>
      </c>
      <c r="D1194" s="2" t="s">
        <v>77</v>
      </c>
      <c r="E1194" s="2" t="s">
        <v>63</v>
      </c>
      <c r="F1194" s="2" t="s">
        <v>48</v>
      </c>
      <c r="G1194" s="2" t="s">
        <v>33</v>
      </c>
      <c r="H1194" s="2" t="s">
        <v>28</v>
      </c>
      <c r="I1194" s="2" t="s">
        <v>30</v>
      </c>
      <c r="J1194" s="2">
        <v>6020.0</v>
      </c>
      <c r="K1194" s="2">
        <v>1865.0</v>
      </c>
      <c r="L1194" s="2">
        <v>1324.0</v>
      </c>
      <c r="M1194" s="2">
        <v>1229.0</v>
      </c>
      <c r="N1194" s="2">
        <v>448.0</v>
      </c>
      <c r="O1194" s="2">
        <v>497.0</v>
      </c>
      <c r="P1194" s="2">
        <v>471.0</v>
      </c>
      <c r="Q1194" s="2">
        <v>345.0</v>
      </c>
      <c r="R1194" s="2">
        <v>11964.0</v>
      </c>
      <c r="S1194" s="2">
        <v>12029.0</v>
      </c>
      <c r="T1194" s="2">
        <v>-65.0</v>
      </c>
      <c r="U1194" s="2">
        <v>12029.0</v>
      </c>
      <c r="V1194" s="2">
        <v>0.0</v>
      </c>
      <c r="W1194" s="2">
        <v>-65.0</v>
      </c>
    </row>
    <row r="1195" ht="15.0" customHeight="1">
      <c r="A1195" s="2">
        <v>2025.0</v>
      </c>
      <c r="B1195" s="2" t="s">
        <v>55</v>
      </c>
      <c r="C1195" s="2">
        <v>10.0</v>
      </c>
      <c r="D1195" s="2" t="s">
        <v>77</v>
      </c>
      <c r="E1195" s="2" t="s">
        <v>63</v>
      </c>
      <c r="F1195" s="2" t="s">
        <v>48</v>
      </c>
      <c r="G1195" s="2" t="s">
        <v>33</v>
      </c>
      <c r="H1195" s="2" t="s">
        <v>28</v>
      </c>
      <c r="I1195" s="2" t="s">
        <v>31</v>
      </c>
      <c r="J1195" s="2">
        <v>358.0</v>
      </c>
      <c r="K1195" s="2">
        <v>150.0</v>
      </c>
      <c r="L1195" s="2">
        <v>105.0</v>
      </c>
      <c r="M1195" s="2">
        <v>84.0</v>
      </c>
      <c r="N1195" s="2">
        <v>26.0</v>
      </c>
      <c r="O1195" s="2">
        <v>27.0</v>
      </c>
      <c r="P1195" s="2">
        <v>27.0</v>
      </c>
      <c r="Q1195" s="2">
        <v>19.0</v>
      </c>
      <c r="R1195" s="2">
        <v>706.0</v>
      </c>
      <c r="S1195" s="2">
        <v>0.0</v>
      </c>
      <c r="T1195" s="2">
        <v>706.0</v>
      </c>
      <c r="U1195" s="2">
        <v>0.0</v>
      </c>
      <c r="V1195" s="2">
        <v>0.0</v>
      </c>
      <c r="W1195" s="2">
        <v>706.0</v>
      </c>
    </row>
    <row r="1196" ht="15.0" customHeight="1">
      <c r="A1196" s="2">
        <v>2025.0</v>
      </c>
      <c r="B1196" s="2" t="s">
        <v>55</v>
      </c>
      <c r="C1196" s="2">
        <v>10.0</v>
      </c>
      <c r="D1196" s="2" t="s">
        <v>77</v>
      </c>
      <c r="E1196" s="2" t="s">
        <v>63</v>
      </c>
      <c r="F1196" s="2" t="s">
        <v>48</v>
      </c>
      <c r="G1196" s="2" t="s">
        <v>34</v>
      </c>
      <c r="H1196" s="2" t="s">
        <v>35</v>
      </c>
      <c r="I1196" s="2" t="s">
        <v>29</v>
      </c>
      <c r="J1196" s="2">
        <v>31929.0</v>
      </c>
      <c r="K1196" s="2">
        <v>19975.0</v>
      </c>
      <c r="L1196" s="2">
        <v>8536.0</v>
      </c>
      <c r="M1196" s="2">
        <v>8114.0</v>
      </c>
      <c r="N1196" s="2">
        <v>3535.0</v>
      </c>
      <c r="O1196" s="2">
        <v>4922.0</v>
      </c>
      <c r="P1196" s="2">
        <v>4029.0</v>
      </c>
      <c r="Q1196" s="2">
        <v>0.0</v>
      </c>
      <c r="R1196" s="2">
        <v>60100.0</v>
      </c>
      <c r="S1196" s="2">
        <v>42146.0</v>
      </c>
      <c r="T1196" s="2">
        <v>17954.0</v>
      </c>
      <c r="U1196" s="2">
        <v>39115.0</v>
      </c>
      <c r="V1196" s="2">
        <v>3031.0</v>
      </c>
      <c r="W1196" s="2">
        <v>20985.0</v>
      </c>
    </row>
    <row r="1197" ht="15.0" customHeight="1">
      <c r="A1197" s="2">
        <v>2025.0</v>
      </c>
      <c r="B1197" s="2" t="s">
        <v>55</v>
      </c>
      <c r="C1197" s="2">
        <v>10.0</v>
      </c>
      <c r="D1197" s="2" t="s">
        <v>77</v>
      </c>
      <c r="E1197" s="2" t="s">
        <v>63</v>
      </c>
      <c r="F1197" s="2" t="s">
        <v>48</v>
      </c>
      <c r="G1197" s="2" t="s">
        <v>34</v>
      </c>
      <c r="H1197" s="2" t="s">
        <v>35</v>
      </c>
      <c r="I1197" s="2" t="s">
        <v>30</v>
      </c>
      <c r="J1197" s="2">
        <v>17428.0</v>
      </c>
      <c r="K1197" s="2">
        <v>9084.0</v>
      </c>
      <c r="L1197" s="2">
        <v>3505.0</v>
      </c>
      <c r="M1197" s="2">
        <v>3306.0</v>
      </c>
      <c r="N1197" s="2">
        <v>1397.0</v>
      </c>
      <c r="O1197" s="2">
        <v>1993.0</v>
      </c>
      <c r="P1197" s="2">
        <v>1638.0</v>
      </c>
      <c r="Q1197" s="2">
        <v>0.0</v>
      </c>
      <c r="R1197" s="2">
        <v>25706.0</v>
      </c>
      <c r="S1197" s="2">
        <v>17160.0</v>
      </c>
      <c r="T1197" s="2">
        <v>8547.0</v>
      </c>
      <c r="U1197" s="2">
        <v>17160.0</v>
      </c>
      <c r="V1197" s="2">
        <v>0.0</v>
      </c>
      <c r="W1197" s="2">
        <v>8547.0</v>
      </c>
    </row>
    <row r="1198" ht="15.0" customHeight="1">
      <c r="A1198" s="2">
        <v>2025.0</v>
      </c>
      <c r="B1198" s="2" t="s">
        <v>55</v>
      </c>
      <c r="C1198" s="2">
        <v>10.0</v>
      </c>
      <c r="D1198" s="2" t="s">
        <v>77</v>
      </c>
      <c r="E1198" s="2" t="s">
        <v>63</v>
      </c>
      <c r="F1198" s="2" t="s">
        <v>48</v>
      </c>
      <c r="G1198" s="2" t="s">
        <v>34</v>
      </c>
      <c r="H1198" s="2" t="s">
        <v>35</v>
      </c>
      <c r="I1198" s="2" t="s">
        <v>31</v>
      </c>
      <c r="J1198" s="2">
        <v>1066.0</v>
      </c>
      <c r="K1198" s="2">
        <v>508.0</v>
      </c>
      <c r="L1198" s="2">
        <v>412.0</v>
      </c>
      <c r="M1198" s="2">
        <v>363.0</v>
      </c>
      <c r="N1198" s="2">
        <v>157.0</v>
      </c>
      <c r="O1198" s="2">
        <v>227.0</v>
      </c>
      <c r="P1198" s="2">
        <v>180.0</v>
      </c>
      <c r="Q1198" s="2">
        <v>0.0</v>
      </c>
      <c r="R1198" s="2">
        <v>2600.0</v>
      </c>
      <c r="S1198" s="2">
        <v>0.0</v>
      </c>
      <c r="T1198" s="2">
        <v>2600.0</v>
      </c>
      <c r="U1198" s="2">
        <v>0.0</v>
      </c>
      <c r="V1198" s="2">
        <v>0.0</v>
      </c>
      <c r="W1198" s="2">
        <v>2600.0</v>
      </c>
    </row>
    <row r="1199" ht="15.0" customHeight="1">
      <c r="A1199" s="2">
        <v>2025.0</v>
      </c>
      <c r="B1199" s="2" t="s">
        <v>55</v>
      </c>
      <c r="C1199" s="2">
        <v>10.0</v>
      </c>
      <c r="D1199" s="2" t="s">
        <v>77</v>
      </c>
      <c r="E1199" s="2" t="s">
        <v>63</v>
      </c>
      <c r="F1199" s="2" t="s">
        <v>48</v>
      </c>
      <c r="G1199" s="2" t="s">
        <v>36</v>
      </c>
      <c r="H1199" s="2" t="s">
        <v>35</v>
      </c>
      <c r="I1199" s="2" t="s">
        <v>29</v>
      </c>
      <c r="J1199" s="2">
        <v>12395.0</v>
      </c>
      <c r="K1199" s="2">
        <v>7169.0</v>
      </c>
      <c r="L1199" s="2">
        <v>3579.0</v>
      </c>
      <c r="M1199" s="2">
        <v>3413.0</v>
      </c>
      <c r="N1199" s="2">
        <v>2484.0</v>
      </c>
      <c r="O1199" s="2">
        <v>4185.0</v>
      </c>
      <c r="P1199" s="2">
        <v>3507.0</v>
      </c>
      <c r="Q1199" s="2">
        <v>0.0</v>
      </c>
      <c r="R1199" s="2">
        <v>52804.0</v>
      </c>
      <c r="S1199" s="2">
        <v>27113.0</v>
      </c>
      <c r="T1199" s="2">
        <v>25690.0</v>
      </c>
      <c r="U1199" s="2">
        <v>24646.0</v>
      </c>
      <c r="V1199" s="2">
        <v>2467.0</v>
      </c>
      <c r="W1199" s="2">
        <v>28158.0</v>
      </c>
    </row>
    <row r="1200" ht="15.0" customHeight="1">
      <c r="A1200" s="2">
        <v>2025.0</v>
      </c>
      <c r="B1200" s="2" t="s">
        <v>55</v>
      </c>
      <c r="C1200" s="2">
        <v>10.0</v>
      </c>
      <c r="D1200" s="2" t="s">
        <v>77</v>
      </c>
      <c r="E1200" s="2" t="s">
        <v>63</v>
      </c>
      <c r="F1200" s="2" t="s">
        <v>48</v>
      </c>
      <c r="G1200" s="2" t="s">
        <v>36</v>
      </c>
      <c r="H1200" s="2" t="s">
        <v>35</v>
      </c>
      <c r="I1200" s="2" t="s">
        <v>30</v>
      </c>
      <c r="J1200" s="2">
        <v>6880.0</v>
      </c>
      <c r="K1200" s="2">
        <v>2157.0</v>
      </c>
      <c r="L1200" s="2">
        <v>1272.0</v>
      </c>
      <c r="M1200" s="2">
        <v>1217.0</v>
      </c>
      <c r="N1200" s="2">
        <v>850.0</v>
      </c>
      <c r="O1200" s="2">
        <v>1421.0</v>
      </c>
      <c r="P1200" s="2">
        <v>1171.0</v>
      </c>
      <c r="Q1200" s="2">
        <v>0.0</v>
      </c>
      <c r="R1200" s="2">
        <v>16815.0</v>
      </c>
      <c r="S1200" s="2">
        <v>14834.0</v>
      </c>
      <c r="T1200" s="2">
        <v>1980.0</v>
      </c>
      <c r="U1200" s="2">
        <v>14834.0</v>
      </c>
      <c r="V1200" s="2">
        <v>0.0</v>
      </c>
      <c r="W1200" s="2">
        <v>1980.0</v>
      </c>
    </row>
    <row r="1201" ht="15.0" customHeight="1">
      <c r="A1201" s="2">
        <v>2025.0</v>
      </c>
      <c r="B1201" s="2" t="s">
        <v>55</v>
      </c>
      <c r="C1201" s="2">
        <v>10.0</v>
      </c>
      <c r="D1201" s="2" t="s">
        <v>77</v>
      </c>
      <c r="E1201" s="2" t="s">
        <v>63</v>
      </c>
      <c r="F1201" s="2" t="s">
        <v>48</v>
      </c>
      <c r="G1201" s="2" t="s">
        <v>36</v>
      </c>
      <c r="H1201" s="2" t="s">
        <v>35</v>
      </c>
      <c r="I1201" s="2" t="s">
        <v>31</v>
      </c>
      <c r="J1201" s="2">
        <v>1274.0</v>
      </c>
      <c r="K1201" s="2">
        <v>606.0</v>
      </c>
      <c r="L1201" s="2">
        <v>425.0</v>
      </c>
      <c r="M1201" s="2">
        <v>394.0</v>
      </c>
      <c r="N1201" s="2">
        <v>283.0</v>
      </c>
      <c r="O1201" s="2">
        <v>481.0</v>
      </c>
      <c r="P1201" s="2">
        <v>390.0</v>
      </c>
      <c r="Q1201" s="2">
        <v>0.0</v>
      </c>
      <c r="R1201" s="2">
        <v>5824.0</v>
      </c>
      <c r="S1201" s="2">
        <v>0.0</v>
      </c>
      <c r="T1201" s="2">
        <v>5824.0</v>
      </c>
      <c r="U1201" s="2">
        <v>0.0</v>
      </c>
      <c r="V1201" s="2">
        <v>0.0</v>
      </c>
      <c r="W1201" s="2">
        <v>5824.0</v>
      </c>
    </row>
    <row r="1202" ht="15.0" customHeight="1">
      <c r="A1202" s="2">
        <v>2025.0</v>
      </c>
      <c r="B1202" s="2" t="s">
        <v>55</v>
      </c>
      <c r="C1202" s="2">
        <v>10.0</v>
      </c>
      <c r="D1202" s="2" t="s">
        <v>77</v>
      </c>
      <c r="E1202" s="2" t="s">
        <v>63</v>
      </c>
      <c r="F1202" s="2" t="s">
        <v>48</v>
      </c>
      <c r="G1202" s="2" t="s">
        <v>37</v>
      </c>
      <c r="H1202" s="2" t="s">
        <v>35</v>
      </c>
      <c r="I1202" s="2" t="s">
        <v>29</v>
      </c>
      <c r="J1202" s="2">
        <v>3648.0</v>
      </c>
      <c r="K1202" s="2">
        <v>1950.0</v>
      </c>
      <c r="L1202" s="2">
        <v>749.0</v>
      </c>
      <c r="M1202" s="2">
        <v>704.0</v>
      </c>
      <c r="N1202" s="2">
        <v>599.0</v>
      </c>
      <c r="O1202" s="2">
        <v>1624.0</v>
      </c>
      <c r="P1202" s="2">
        <v>1328.0</v>
      </c>
      <c r="Q1202" s="2">
        <v>26.0</v>
      </c>
      <c r="R1202" s="2">
        <v>39798.0</v>
      </c>
      <c r="S1202" s="2">
        <v>15501.0</v>
      </c>
      <c r="T1202" s="2">
        <v>24297.0</v>
      </c>
      <c r="U1202" s="2">
        <v>15501.0</v>
      </c>
      <c r="V1202" s="2">
        <v>0.0</v>
      </c>
      <c r="W1202" s="2">
        <v>24297.0</v>
      </c>
    </row>
    <row r="1203" ht="15.0" customHeight="1">
      <c r="A1203" s="2">
        <v>2025.0</v>
      </c>
      <c r="B1203" s="2" t="s">
        <v>55</v>
      </c>
      <c r="C1203" s="2">
        <v>10.0</v>
      </c>
      <c r="D1203" s="2" t="s">
        <v>77</v>
      </c>
      <c r="E1203" s="2" t="s">
        <v>63</v>
      </c>
      <c r="F1203" s="2" t="s">
        <v>48</v>
      </c>
      <c r="G1203" s="2" t="s">
        <v>37</v>
      </c>
      <c r="H1203" s="2" t="s">
        <v>35</v>
      </c>
      <c r="I1203" s="2" t="s">
        <v>30</v>
      </c>
      <c r="J1203" s="2">
        <v>2614.0</v>
      </c>
      <c r="K1203" s="2">
        <v>937.0</v>
      </c>
      <c r="L1203" s="2">
        <v>326.0</v>
      </c>
      <c r="M1203" s="2">
        <v>281.0</v>
      </c>
      <c r="N1203" s="2">
        <v>224.0</v>
      </c>
      <c r="O1203" s="2">
        <v>598.0</v>
      </c>
      <c r="P1203" s="2">
        <v>467.0</v>
      </c>
      <c r="Q1203" s="2">
        <v>4.0</v>
      </c>
      <c r="R1203" s="2">
        <v>14360.0</v>
      </c>
      <c r="S1203" s="2">
        <v>7691.0</v>
      </c>
      <c r="T1203" s="2">
        <v>6669.0</v>
      </c>
      <c r="U1203" s="2">
        <v>7691.0</v>
      </c>
      <c r="V1203" s="2">
        <v>0.0</v>
      </c>
      <c r="W1203" s="2">
        <v>6669.0</v>
      </c>
    </row>
    <row r="1204" ht="15.0" customHeight="1">
      <c r="A1204" s="2">
        <v>2025.0</v>
      </c>
      <c r="B1204" s="2" t="s">
        <v>55</v>
      </c>
      <c r="C1204" s="2">
        <v>10.0</v>
      </c>
      <c r="D1204" s="2" t="s">
        <v>77</v>
      </c>
      <c r="E1204" s="2" t="s">
        <v>63</v>
      </c>
      <c r="F1204" s="2" t="s">
        <v>48</v>
      </c>
      <c r="G1204" s="2" t="s">
        <v>37</v>
      </c>
      <c r="H1204" s="2" t="s">
        <v>35</v>
      </c>
      <c r="I1204" s="2" t="s">
        <v>31</v>
      </c>
      <c r="J1204" s="2">
        <v>97.0</v>
      </c>
      <c r="K1204" s="2">
        <v>62.0</v>
      </c>
      <c r="L1204" s="2">
        <v>31.0</v>
      </c>
      <c r="M1204" s="2">
        <v>23.0</v>
      </c>
      <c r="N1204" s="2">
        <v>19.0</v>
      </c>
      <c r="O1204" s="2">
        <v>57.0</v>
      </c>
      <c r="P1204" s="2">
        <v>43.0</v>
      </c>
      <c r="Q1204" s="2">
        <v>0.0</v>
      </c>
      <c r="R1204" s="2">
        <v>1252.0</v>
      </c>
      <c r="S1204" s="2">
        <v>0.0</v>
      </c>
      <c r="T1204" s="2">
        <v>1252.0</v>
      </c>
      <c r="U1204" s="2">
        <v>0.0</v>
      </c>
      <c r="V1204" s="2">
        <v>0.0</v>
      </c>
      <c r="W1204" s="2">
        <v>1252.0</v>
      </c>
    </row>
    <row r="1205" ht="15.0" customHeight="1">
      <c r="A1205" s="2">
        <v>2025.0</v>
      </c>
      <c r="B1205" s="2" t="s">
        <v>55</v>
      </c>
      <c r="C1205" s="2">
        <v>10.0</v>
      </c>
      <c r="D1205" s="2" t="s">
        <v>77</v>
      </c>
      <c r="E1205" s="2" t="s">
        <v>63</v>
      </c>
      <c r="F1205" s="2" t="s">
        <v>48</v>
      </c>
      <c r="G1205" s="2" t="s">
        <v>38</v>
      </c>
      <c r="H1205" s="2" t="s">
        <v>35</v>
      </c>
      <c r="I1205" s="2" t="s">
        <v>29</v>
      </c>
      <c r="J1205" s="2">
        <v>1407.0</v>
      </c>
      <c r="K1205" s="2">
        <v>822.0</v>
      </c>
      <c r="L1205" s="2">
        <v>436.0</v>
      </c>
      <c r="M1205" s="2">
        <v>417.0</v>
      </c>
      <c r="N1205" s="2">
        <v>218.0</v>
      </c>
      <c r="O1205" s="2">
        <v>280.0</v>
      </c>
      <c r="P1205" s="2">
        <v>180.0</v>
      </c>
      <c r="Q1205" s="2">
        <v>55.0</v>
      </c>
      <c r="R1205" s="2">
        <v>3356.0</v>
      </c>
      <c r="S1205" s="2">
        <v>1406.0</v>
      </c>
      <c r="T1205" s="2">
        <v>1950.0</v>
      </c>
      <c r="U1205" s="2">
        <v>1237.0</v>
      </c>
      <c r="V1205" s="2">
        <v>169.0</v>
      </c>
      <c r="W1205" s="2">
        <v>2119.0</v>
      </c>
    </row>
    <row r="1206" ht="15.0" customHeight="1">
      <c r="A1206" s="2">
        <v>2025.0</v>
      </c>
      <c r="B1206" s="2" t="s">
        <v>55</v>
      </c>
      <c r="C1206" s="2">
        <v>10.0</v>
      </c>
      <c r="D1206" s="2" t="s">
        <v>77</v>
      </c>
      <c r="E1206" s="2" t="s">
        <v>63</v>
      </c>
      <c r="F1206" s="2" t="s">
        <v>48</v>
      </c>
      <c r="G1206" s="2" t="s">
        <v>38</v>
      </c>
      <c r="H1206" s="2" t="s">
        <v>35</v>
      </c>
      <c r="I1206" s="2" t="s">
        <v>30</v>
      </c>
      <c r="J1206" s="2">
        <v>8855.0</v>
      </c>
      <c r="K1206" s="2">
        <v>2905.0</v>
      </c>
      <c r="L1206" s="2">
        <v>2165.0</v>
      </c>
      <c r="M1206" s="2">
        <v>2074.0</v>
      </c>
      <c r="N1206" s="2">
        <v>1074.0</v>
      </c>
      <c r="O1206" s="2">
        <v>1465.0</v>
      </c>
      <c r="P1206" s="2">
        <v>968.0</v>
      </c>
      <c r="Q1206" s="2">
        <v>329.0</v>
      </c>
      <c r="R1206" s="2">
        <v>18100.0</v>
      </c>
      <c r="S1206" s="2">
        <v>16775.0</v>
      </c>
      <c r="T1206" s="2">
        <v>1327.0</v>
      </c>
      <c r="U1206" s="2">
        <v>16775.0</v>
      </c>
      <c r="V1206" s="2">
        <v>0.0</v>
      </c>
      <c r="W1206" s="2">
        <v>1327.0</v>
      </c>
    </row>
    <row r="1207" ht="15.0" customHeight="1">
      <c r="A1207" s="2">
        <v>2025.0</v>
      </c>
      <c r="B1207" s="2" t="s">
        <v>55</v>
      </c>
      <c r="C1207" s="2">
        <v>10.0</v>
      </c>
      <c r="D1207" s="2" t="s">
        <v>77</v>
      </c>
      <c r="E1207" s="2" t="s">
        <v>63</v>
      </c>
      <c r="F1207" s="2" t="s">
        <v>48</v>
      </c>
      <c r="G1207" s="2" t="s">
        <v>38</v>
      </c>
      <c r="H1207" s="2" t="s">
        <v>35</v>
      </c>
      <c r="I1207" s="2" t="s">
        <v>31</v>
      </c>
      <c r="J1207" s="2">
        <v>987.0</v>
      </c>
      <c r="K1207" s="2">
        <v>709.0</v>
      </c>
      <c r="L1207" s="2">
        <v>565.0</v>
      </c>
      <c r="M1207" s="2">
        <v>535.0</v>
      </c>
      <c r="N1207" s="2">
        <v>290.0</v>
      </c>
      <c r="O1207" s="2">
        <v>383.0</v>
      </c>
      <c r="P1207" s="2">
        <v>262.0</v>
      </c>
      <c r="Q1207" s="2">
        <v>83.0</v>
      </c>
      <c r="R1207" s="2">
        <v>5307.0</v>
      </c>
      <c r="S1207" s="2">
        <v>0.0</v>
      </c>
      <c r="T1207" s="2">
        <v>5307.0</v>
      </c>
      <c r="U1207" s="2">
        <v>0.0</v>
      </c>
      <c r="V1207" s="2">
        <v>0.0</v>
      </c>
      <c r="W1207" s="2">
        <v>5307.0</v>
      </c>
    </row>
    <row r="1208" ht="15.0" customHeight="1">
      <c r="A1208" s="2">
        <v>2025.0</v>
      </c>
      <c r="B1208" s="2" t="s">
        <v>55</v>
      </c>
      <c r="C1208" s="2">
        <v>10.0</v>
      </c>
      <c r="D1208" s="2" t="s">
        <v>77</v>
      </c>
      <c r="E1208" s="2" t="s">
        <v>63</v>
      </c>
      <c r="F1208" s="2" t="s">
        <v>48</v>
      </c>
      <c r="G1208" s="2" t="s">
        <v>39</v>
      </c>
      <c r="H1208" s="2" t="s">
        <v>40</v>
      </c>
      <c r="I1208" s="2" t="s">
        <v>29</v>
      </c>
      <c r="J1208" s="2">
        <v>28365.0</v>
      </c>
      <c r="K1208" s="2">
        <v>17127.0</v>
      </c>
      <c r="L1208" s="2">
        <v>6662.0</v>
      </c>
      <c r="M1208" s="2">
        <v>6252.0</v>
      </c>
      <c r="N1208" s="2">
        <v>4257.0</v>
      </c>
      <c r="O1208" s="2">
        <v>5441.0</v>
      </c>
      <c r="P1208" s="2">
        <v>5136.0</v>
      </c>
      <c r="Q1208" s="2">
        <v>3789.0</v>
      </c>
      <c r="R1208" s="2">
        <v>39202.0</v>
      </c>
      <c r="S1208" s="2">
        <v>27050.0</v>
      </c>
      <c r="T1208" s="2">
        <v>12152.0</v>
      </c>
      <c r="U1208" s="2">
        <v>26823.0</v>
      </c>
      <c r="V1208" s="2">
        <v>227.0</v>
      </c>
      <c r="W1208" s="2">
        <v>12379.0</v>
      </c>
    </row>
    <row r="1209" ht="15.0" customHeight="1">
      <c r="A1209" s="2">
        <v>2025.0</v>
      </c>
      <c r="B1209" s="2" t="s">
        <v>55</v>
      </c>
      <c r="C1209" s="2">
        <v>10.0</v>
      </c>
      <c r="D1209" s="2" t="s">
        <v>77</v>
      </c>
      <c r="E1209" s="2" t="s">
        <v>63</v>
      </c>
      <c r="F1209" s="2" t="s">
        <v>48</v>
      </c>
      <c r="G1209" s="2" t="s">
        <v>39</v>
      </c>
      <c r="H1209" s="2" t="s">
        <v>40</v>
      </c>
      <c r="I1209" s="2" t="s">
        <v>30</v>
      </c>
      <c r="J1209" s="2">
        <v>10231.0</v>
      </c>
      <c r="K1209" s="2">
        <v>4204.0</v>
      </c>
      <c r="L1209" s="2">
        <v>1834.0</v>
      </c>
      <c r="M1209" s="2">
        <v>1673.0</v>
      </c>
      <c r="N1209" s="2">
        <v>1357.0</v>
      </c>
      <c r="O1209" s="2">
        <v>1853.0</v>
      </c>
      <c r="P1209" s="2">
        <v>1701.0</v>
      </c>
      <c r="Q1209" s="2">
        <v>1169.0</v>
      </c>
      <c r="R1209" s="2">
        <v>14422.0</v>
      </c>
      <c r="S1209" s="2">
        <v>23247.0</v>
      </c>
      <c r="T1209" s="2">
        <v>-8824.0</v>
      </c>
      <c r="U1209" s="2">
        <v>23247.0</v>
      </c>
      <c r="V1209" s="2">
        <v>0.0</v>
      </c>
      <c r="W1209" s="2">
        <v>-8824.0</v>
      </c>
    </row>
    <row r="1210" ht="15.0" customHeight="1">
      <c r="A1210" s="2">
        <v>2025.0</v>
      </c>
      <c r="B1210" s="2" t="s">
        <v>55</v>
      </c>
      <c r="C1210" s="2">
        <v>10.0</v>
      </c>
      <c r="D1210" s="2" t="s">
        <v>77</v>
      </c>
      <c r="E1210" s="2" t="s">
        <v>63</v>
      </c>
      <c r="F1210" s="2" t="s">
        <v>48</v>
      </c>
      <c r="G1210" s="2" t="s">
        <v>39</v>
      </c>
      <c r="H1210" s="2" t="s">
        <v>40</v>
      </c>
      <c r="I1210" s="2" t="s">
        <v>31</v>
      </c>
      <c r="J1210" s="2">
        <v>1918.0</v>
      </c>
      <c r="K1210" s="2">
        <v>1292.0</v>
      </c>
      <c r="L1210" s="2">
        <v>702.0</v>
      </c>
      <c r="M1210" s="2">
        <v>621.0</v>
      </c>
      <c r="N1210" s="2">
        <v>481.0</v>
      </c>
      <c r="O1210" s="2">
        <v>648.0</v>
      </c>
      <c r="P1210" s="2">
        <v>599.0</v>
      </c>
      <c r="Q1210" s="2">
        <v>400.0</v>
      </c>
      <c r="R1210" s="2">
        <v>5413.0</v>
      </c>
      <c r="S1210" s="2">
        <v>0.0</v>
      </c>
      <c r="T1210" s="2">
        <v>5413.0</v>
      </c>
      <c r="U1210" s="2">
        <v>0.0</v>
      </c>
      <c r="V1210" s="2">
        <v>0.0</v>
      </c>
      <c r="W1210" s="2">
        <v>5413.0</v>
      </c>
    </row>
    <row r="1211" ht="15.0" customHeight="1">
      <c r="A1211" s="2">
        <v>2025.0</v>
      </c>
      <c r="B1211" s="2" t="s">
        <v>55</v>
      </c>
      <c r="C1211" s="2">
        <v>10.0</v>
      </c>
      <c r="D1211" s="2" t="s">
        <v>77</v>
      </c>
      <c r="E1211" s="2" t="s">
        <v>63</v>
      </c>
      <c r="F1211" s="2" t="s">
        <v>48</v>
      </c>
      <c r="G1211" s="2" t="s">
        <v>41</v>
      </c>
      <c r="H1211" s="2" t="s">
        <v>42</v>
      </c>
      <c r="I1211" s="2" t="s">
        <v>29</v>
      </c>
      <c r="J1211" s="2">
        <v>16784.0</v>
      </c>
      <c r="K1211" s="2">
        <v>10794.0</v>
      </c>
      <c r="L1211" s="2">
        <v>2420.0</v>
      </c>
      <c r="M1211" s="2">
        <v>2110.0</v>
      </c>
      <c r="N1211" s="2">
        <v>995.0</v>
      </c>
      <c r="O1211" s="2">
        <v>1316.0</v>
      </c>
      <c r="P1211" s="2">
        <v>976.0</v>
      </c>
      <c r="Q1211" s="2">
        <v>91.0</v>
      </c>
      <c r="R1211" s="2">
        <v>9512.0</v>
      </c>
      <c r="S1211" s="2">
        <v>11225.0</v>
      </c>
      <c r="T1211" s="2">
        <v>-1713.0</v>
      </c>
      <c r="U1211" s="2">
        <v>8630.0</v>
      </c>
      <c r="V1211" s="2">
        <v>2595.0</v>
      </c>
      <c r="W1211" s="2">
        <v>881.0</v>
      </c>
    </row>
    <row r="1212" ht="15.0" customHeight="1">
      <c r="A1212" s="2">
        <v>2025.0</v>
      </c>
      <c r="B1212" s="2" t="s">
        <v>55</v>
      </c>
      <c r="C1212" s="2">
        <v>10.0</v>
      </c>
      <c r="D1212" s="2" t="s">
        <v>77</v>
      </c>
      <c r="E1212" s="2" t="s">
        <v>63</v>
      </c>
      <c r="F1212" s="2" t="s">
        <v>48</v>
      </c>
      <c r="G1212" s="2" t="s">
        <v>41</v>
      </c>
      <c r="H1212" s="2" t="s">
        <v>42</v>
      </c>
      <c r="I1212" s="2" t="s">
        <v>30</v>
      </c>
      <c r="J1212" s="2">
        <v>15029.0</v>
      </c>
      <c r="K1212" s="2">
        <v>7506.0</v>
      </c>
      <c r="L1212" s="2">
        <v>4300.0</v>
      </c>
      <c r="M1212" s="2">
        <v>3976.0</v>
      </c>
      <c r="N1212" s="2">
        <v>1846.0</v>
      </c>
      <c r="O1212" s="2">
        <v>2429.0</v>
      </c>
      <c r="P1212" s="2">
        <v>1940.0</v>
      </c>
      <c r="Q1212" s="2">
        <v>314.0</v>
      </c>
      <c r="R1212" s="2">
        <v>18923.0</v>
      </c>
      <c r="S1212" s="2">
        <v>16382.0</v>
      </c>
      <c r="T1212" s="2">
        <v>2541.0</v>
      </c>
      <c r="U1212" s="2">
        <v>16382.0</v>
      </c>
      <c r="V1212" s="2">
        <v>0.0</v>
      </c>
      <c r="W1212" s="2">
        <v>2541.0</v>
      </c>
    </row>
    <row r="1213" ht="15.0" customHeight="1">
      <c r="A1213" s="2">
        <v>2025.0</v>
      </c>
      <c r="B1213" s="2" t="s">
        <v>55</v>
      </c>
      <c r="C1213" s="2">
        <v>10.0</v>
      </c>
      <c r="D1213" s="2" t="s">
        <v>77</v>
      </c>
      <c r="E1213" s="2" t="s">
        <v>63</v>
      </c>
      <c r="F1213" s="2" t="s">
        <v>48</v>
      </c>
      <c r="G1213" s="2" t="s">
        <v>41</v>
      </c>
      <c r="H1213" s="2" t="s">
        <v>42</v>
      </c>
      <c r="I1213" s="2" t="s">
        <v>31</v>
      </c>
      <c r="J1213" s="2">
        <v>9255.0</v>
      </c>
      <c r="K1213" s="2">
        <v>4492.0</v>
      </c>
      <c r="L1213" s="2">
        <v>4189.0</v>
      </c>
      <c r="M1213" s="2">
        <v>3224.0</v>
      </c>
      <c r="N1213" s="2">
        <v>1199.0</v>
      </c>
      <c r="O1213" s="2">
        <v>1530.0</v>
      </c>
      <c r="P1213" s="2">
        <v>1242.0</v>
      </c>
      <c r="Q1213" s="2">
        <v>206.0</v>
      </c>
      <c r="R1213" s="2">
        <v>13194.0</v>
      </c>
      <c r="S1213" s="2">
        <v>22.0</v>
      </c>
      <c r="T1213" s="2">
        <v>13171.0</v>
      </c>
      <c r="U1213" s="2">
        <v>22.0</v>
      </c>
      <c r="V1213" s="2">
        <v>0.0</v>
      </c>
      <c r="W1213" s="2">
        <v>13171.0</v>
      </c>
    </row>
    <row r="1214" ht="15.0" customHeight="1">
      <c r="A1214" s="2">
        <v>2025.0</v>
      </c>
      <c r="B1214" s="2" t="s">
        <v>55</v>
      </c>
      <c r="C1214" s="2">
        <v>10.0</v>
      </c>
      <c r="D1214" s="2" t="s">
        <v>77</v>
      </c>
      <c r="E1214" s="2" t="s">
        <v>63</v>
      </c>
      <c r="F1214" s="2" t="s">
        <v>48</v>
      </c>
      <c r="G1214" s="2" t="s">
        <v>43</v>
      </c>
      <c r="H1214" s="2" t="s">
        <v>42</v>
      </c>
      <c r="I1214" s="2" t="s">
        <v>29</v>
      </c>
      <c r="J1214" s="2">
        <v>11943.0</v>
      </c>
      <c r="K1214" s="2">
        <v>5715.0</v>
      </c>
      <c r="L1214" s="2">
        <v>3021.0</v>
      </c>
      <c r="M1214" s="2">
        <v>2795.0</v>
      </c>
      <c r="N1214" s="2">
        <v>1310.0</v>
      </c>
      <c r="O1214" s="2">
        <v>2600.0</v>
      </c>
      <c r="P1214" s="2">
        <v>2255.0</v>
      </c>
      <c r="Q1214" s="2">
        <v>0.0</v>
      </c>
      <c r="R1214" s="2">
        <v>96125.0</v>
      </c>
      <c r="S1214" s="2">
        <v>57282.0</v>
      </c>
      <c r="T1214" s="2">
        <v>38842.0</v>
      </c>
      <c r="U1214" s="2">
        <v>54579.0</v>
      </c>
      <c r="V1214" s="2">
        <v>2703.0</v>
      </c>
      <c r="W1214" s="2">
        <v>41546.0</v>
      </c>
    </row>
    <row r="1215" ht="15.0" customHeight="1">
      <c r="A1215" s="2">
        <v>2025.0</v>
      </c>
      <c r="B1215" s="2" t="s">
        <v>55</v>
      </c>
      <c r="C1215" s="2">
        <v>10.0</v>
      </c>
      <c r="D1215" s="2" t="s">
        <v>77</v>
      </c>
      <c r="E1215" s="2" t="s">
        <v>63</v>
      </c>
      <c r="F1215" s="2" t="s">
        <v>48</v>
      </c>
      <c r="G1215" s="2" t="s">
        <v>43</v>
      </c>
      <c r="H1215" s="2" t="s">
        <v>42</v>
      </c>
      <c r="I1215" s="2" t="s">
        <v>30</v>
      </c>
      <c r="J1215" s="2">
        <v>4958.0</v>
      </c>
      <c r="K1215" s="2">
        <v>1826.0</v>
      </c>
      <c r="L1215" s="2">
        <v>844.0</v>
      </c>
      <c r="M1215" s="2">
        <v>769.0</v>
      </c>
      <c r="N1215" s="2">
        <v>313.0</v>
      </c>
      <c r="O1215" s="2">
        <v>681.0</v>
      </c>
      <c r="P1215" s="2">
        <v>618.0</v>
      </c>
      <c r="Q1215" s="2">
        <v>0.0</v>
      </c>
      <c r="R1215" s="2">
        <v>25742.0</v>
      </c>
      <c r="S1215" s="2">
        <v>16130.0</v>
      </c>
      <c r="T1215" s="2">
        <v>9611.0</v>
      </c>
      <c r="U1215" s="2">
        <v>16130.0</v>
      </c>
      <c r="V1215" s="2">
        <v>0.0</v>
      </c>
      <c r="W1215" s="2">
        <v>9611.0</v>
      </c>
    </row>
    <row r="1216" ht="15.0" customHeight="1">
      <c r="A1216" s="2">
        <v>2025.0</v>
      </c>
      <c r="B1216" s="2" t="s">
        <v>55</v>
      </c>
      <c r="C1216" s="2">
        <v>10.0</v>
      </c>
      <c r="D1216" s="2" t="s">
        <v>77</v>
      </c>
      <c r="E1216" s="2" t="s">
        <v>63</v>
      </c>
      <c r="F1216" s="2" t="s">
        <v>48</v>
      </c>
      <c r="G1216" s="2" t="s">
        <v>43</v>
      </c>
      <c r="H1216" s="2" t="s">
        <v>42</v>
      </c>
      <c r="I1216" s="2" t="s">
        <v>31</v>
      </c>
      <c r="J1216" s="2">
        <v>533.0</v>
      </c>
      <c r="K1216" s="2">
        <v>358.0</v>
      </c>
      <c r="L1216" s="2">
        <v>280.0</v>
      </c>
      <c r="M1216" s="2">
        <v>226.0</v>
      </c>
      <c r="N1216" s="2">
        <v>114.0</v>
      </c>
      <c r="O1216" s="2">
        <v>250.0</v>
      </c>
      <c r="P1216" s="2">
        <v>220.0</v>
      </c>
      <c r="Q1216" s="2">
        <v>0.0</v>
      </c>
      <c r="R1216" s="2">
        <v>9589.0</v>
      </c>
      <c r="S1216" s="2">
        <v>0.0</v>
      </c>
      <c r="T1216" s="2">
        <v>9589.0</v>
      </c>
      <c r="U1216" s="2">
        <v>0.0</v>
      </c>
      <c r="V1216" s="2">
        <v>0.0</v>
      </c>
      <c r="W1216" s="2">
        <v>9589.0</v>
      </c>
    </row>
    <row r="1217" ht="15.0" customHeight="1">
      <c r="A1217" s="2">
        <v>2025.0</v>
      </c>
      <c r="B1217" s="2" t="s">
        <v>55</v>
      </c>
      <c r="C1217" s="2">
        <v>10.0</v>
      </c>
      <c r="D1217" s="2" t="s">
        <v>77</v>
      </c>
      <c r="E1217" s="2" t="s">
        <v>63</v>
      </c>
      <c r="F1217" s="2" t="s">
        <v>48</v>
      </c>
      <c r="G1217" s="2" t="s">
        <v>44</v>
      </c>
      <c r="H1217" s="2" t="s">
        <v>45</v>
      </c>
      <c r="I1217" s="2" t="s">
        <v>29</v>
      </c>
      <c r="J1217" s="2">
        <v>1875.0</v>
      </c>
      <c r="K1217" s="2">
        <v>997.0</v>
      </c>
      <c r="L1217" s="2">
        <v>272.0</v>
      </c>
      <c r="M1217" s="2">
        <v>258.0</v>
      </c>
      <c r="N1217" s="2">
        <v>217.0</v>
      </c>
      <c r="O1217" s="2">
        <v>403.0</v>
      </c>
      <c r="P1217" s="2">
        <v>309.0</v>
      </c>
      <c r="Q1217" s="2">
        <v>110.0</v>
      </c>
      <c r="R1217" s="2">
        <v>7828.0</v>
      </c>
      <c r="S1217" s="2">
        <v>9803.0</v>
      </c>
      <c r="T1217" s="2">
        <v>-1975.0</v>
      </c>
      <c r="U1217" s="2">
        <v>6417.0</v>
      </c>
      <c r="V1217" s="2">
        <v>3386.0</v>
      </c>
      <c r="W1217" s="2">
        <v>1411.0</v>
      </c>
    </row>
    <row r="1218" ht="15.0" customHeight="1">
      <c r="A1218" s="2">
        <v>2025.0</v>
      </c>
      <c r="B1218" s="2" t="s">
        <v>55</v>
      </c>
      <c r="C1218" s="2">
        <v>10.0</v>
      </c>
      <c r="D1218" s="2" t="s">
        <v>77</v>
      </c>
      <c r="E1218" s="2" t="s">
        <v>63</v>
      </c>
      <c r="F1218" s="2" t="s">
        <v>48</v>
      </c>
      <c r="G1218" s="2" t="s">
        <v>44</v>
      </c>
      <c r="H1218" s="2" t="s">
        <v>45</v>
      </c>
      <c r="I1218" s="2" t="s">
        <v>30</v>
      </c>
      <c r="J1218" s="2">
        <v>1679.0</v>
      </c>
      <c r="K1218" s="2">
        <v>1019.0</v>
      </c>
      <c r="L1218" s="2">
        <v>387.0</v>
      </c>
      <c r="M1218" s="2">
        <v>269.0</v>
      </c>
      <c r="N1218" s="2">
        <v>205.0</v>
      </c>
      <c r="O1218" s="2">
        <v>353.0</v>
      </c>
      <c r="P1218" s="2">
        <v>221.0</v>
      </c>
      <c r="Q1218" s="2">
        <v>75.0</v>
      </c>
      <c r="R1218" s="2">
        <v>6273.0</v>
      </c>
      <c r="S1218" s="2">
        <v>2759.0</v>
      </c>
      <c r="T1218" s="2">
        <v>3514.0</v>
      </c>
      <c r="U1218" s="2">
        <v>2759.0</v>
      </c>
      <c r="V1218" s="2">
        <v>0.0</v>
      </c>
      <c r="W1218" s="2">
        <v>3514.0</v>
      </c>
    </row>
    <row r="1219" ht="15.0" customHeight="1">
      <c r="A1219" s="2">
        <v>2025.0</v>
      </c>
      <c r="B1219" s="2" t="s">
        <v>55</v>
      </c>
      <c r="C1219" s="2">
        <v>10.0</v>
      </c>
      <c r="D1219" s="2" t="s">
        <v>77</v>
      </c>
      <c r="E1219" s="2" t="s">
        <v>63</v>
      </c>
      <c r="F1219" s="2" t="s">
        <v>48</v>
      </c>
      <c r="G1219" s="2" t="s">
        <v>44</v>
      </c>
      <c r="H1219" s="2" t="s">
        <v>45</v>
      </c>
      <c r="I1219" s="2" t="s">
        <v>31</v>
      </c>
      <c r="J1219" s="2">
        <v>236.0</v>
      </c>
      <c r="K1219" s="2">
        <v>121.0</v>
      </c>
      <c r="L1219" s="2">
        <v>40.0</v>
      </c>
      <c r="M1219" s="2">
        <v>32.0</v>
      </c>
      <c r="N1219" s="2">
        <v>26.0</v>
      </c>
      <c r="O1219" s="2">
        <v>69.0</v>
      </c>
      <c r="P1219" s="2">
        <v>42.0</v>
      </c>
      <c r="Q1219" s="2">
        <v>14.0</v>
      </c>
      <c r="R1219" s="2">
        <v>1013.0</v>
      </c>
      <c r="S1219" s="2">
        <v>19.0</v>
      </c>
      <c r="T1219" s="2">
        <v>994.0</v>
      </c>
      <c r="U1219" s="2">
        <v>19.0</v>
      </c>
      <c r="V1219" s="2">
        <v>0.0</v>
      </c>
      <c r="W1219" s="2">
        <v>994.0</v>
      </c>
    </row>
    <row r="1220" ht="15.0" customHeight="1">
      <c r="A1220" s="2">
        <v>2025.0</v>
      </c>
      <c r="B1220" s="2" t="s">
        <v>55</v>
      </c>
      <c r="C1220" s="2">
        <v>10.0</v>
      </c>
      <c r="D1220" s="2" t="s">
        <v>77</v>
      </c>
      <c r="E1220" s="2" t="s">
        <v>63</v>
      </c>
      <c r="F1220" s="2" t="s">
        <v>48</v>
      </c>
      <c r="G1220" s="2" t="s">
        <v>46</v>
      </c>
      <c r="H1220" s="2" t="s">
        <v>47</v>
      </c>
      <c r="I1220" s="2" t="s">
        <v>29</v>
      </c>
      <c r="J1220" s="2">
        <v>10851.0</v>
      </c>
      <c r="K1220" s="2">
        <v>4875.0</v>
      </c>
      <c r="L1220" s="2">
        <v>1597.0</v>
      </c>
      <c r="M1220" s="2">
        <v>1459.0</v>
      </c>
      <c r="N1220" s="2">
        <v>1286.0</v>
      </c>
      <c r="O1220" s="2">
        <v>2790.0</v>
      </c>
      <c r="P1220" s="2">
        <v>1948.0</v>
      </c>
      <c r="Q1220" s="2">
        <v>959.0</v>
      </c>
      <c r="R1220" s="2">
        <v>67429.0</v>
      </c>
      <c r="S1220" s="2">
        <v>30361.0</v>
      </c>
      <c r="T1220" s="2">
        <v>37068.0</v>
      </c>
      <c r="U1220" s="2">
        <v>30166.0</v>
      </c>
      <c r="V1220" s="2">
        <v>194.0</v>
      </c>
      <c r="W1220" s="2">
        <v>37263.0</v>
      </c>
    </row>
    <row r="1221" ht="15.0" customHeight="1">
      <c r="A1221" s="2">
        <v>2025.0</v>
      </c>
      <c r="B1221" s="2" t="s">
        <v>55</v>
      </c>
      <c r="C1221" s="2">
        <v>10.0</v>
      </c>
      <c r="D1221" s="2" t="s">
        <v>77</v>
      </c>
      <c r="E1221" s="2" t="s">
        <v>63</v>
      </c>
      <c r="F1221" s="2" t="s">
        <v>48</v>
      </c>
      <c r="G1221" s="2" t="s">
        <v>46</v>
      </c>
      <c r="H1221" s="2" t="s">
        <v>47</v>
      </c>
      <c r="I1221" s="2" t="s">
        <v>30</v>
      </c>
      <c r="J1221" s="2">
        <v>4707.0</v>
      </c>
      <c r="K1221" s="2">
        <v>2016.0</v>
      </c>
      <c r="L1221" s="2">
        <v>1067.0</v>
      </c>
      <c r="M1221" s="2">
        <v>702.0</v>
      </c>
      <c r="N1221" s="2">
        <v>585.0</v>
      </c>
      <c r="O1221" s="2">
        <v>1205.0</v>
      </c>
      <c r="P1221" s="2">
        <v>825.0</v>
      </c>
      <c r="Q1221" s="2">
        <v>509.0</v>
      </c>
      <c r="R1221" s="2">
        <v>31489.0</v>
      </c>
      <c r="S1221" s="2">
        <v>18077.0</v>
      </c>
      <c r="T1221" s="2">
        <v>13412.0</v>
      </c>
      <c r="U1221" s="2">
        <v>18077.0</v>
      </c>
      <c r="V1221" s="2">
        <v>0.0</v>
      </c>
      <c r="W1221" s="2">
        <v>13412.0</v>
      </c>
    </row>
    <row r="1222" ht="15.0" customHeight="1">
      <c r="A1222" s="2">
        <v>2025.0</v>
      </c>
      <c r="B1222" s="2" t="s">
        <v>55</v>
      </c>
      <c r="C1222" s="2">
        <v>10.0</v>
      </c>
      <c r="D1222" s="2" t="s">
        <v>77</v>
      </c>
      <c r="E1222" s="2" t="s">
        <v>63</v>
      </c>
      <c r="F1222" s="2" t="s">
        <v>48</v>
      </c>
      <c r="G1222" s="2" t="s">
        <v>46</v>
      </c>
      <c r="H1222" s="2" t="s">
        <v>47</v>
      </c>
      <c r="I1222" s="2" t="s">
        <v>31</v>
      </c>
      <c r="J1222" s="2">
        <v>746.0</v>
      </c>
      <c r="K1222" s="2">
        <v>357.0</v>
      </c>
      <c r="L1222" s="2">
        <v>167.0</v>
      </c>
      <c r="M1222" s="2">
        <v>111.0</v>
      </c>
      <c r="N1222" s="2">
        <v>100.0</v>
      </c>
      <c r="O1222" s="2">
        <v>226.0</v>
      </c>
      <c r="P1222" s="2">
        <v>175.0</v>
      </c>
      <c r="Q1222" s="2">
        <v>83.0</v>
      </c>
      <c r="R1222" s="2">
        <v>6162.0</v>
      </c>
      <c r="S1222" s="2">
        <v>26.0</v>
      </c>
      <c r="T1222" s="2">
        <v>6136.0</v>
      </c>
      <c r="U1222" s="2">
        <v>26.0</v>
      </c>
      <c r="V1222" s="2">
        <v>0.0</v>
      </c>
      <c r="W1222" s="2">
        <v>6136.0</v>
      </c>
    </row>
    <row r="1223" ht="15.0" customHeight="1">
      <c r="A1223" s="2">
        <v>2025.0</v>
      </c>
      <c r="B1223" s="2" t="s">
        <v>57</v>
      </c>
      <c r="C1223" s="2">
        <v>9.0</v>
      </c>
      <c r="D1223" s="2" t="s">
        <v>78</v>
      </c>
      <c r="E1223" s="2" t="s">
        <v>63</v>
      </c>
      <c r="F1223" s="2" t="s">
        <v>26</v>
      </c>
      <c r="G1223" s="2" t="s">
        <v>27</v>
      </c>
      <c r="H1223" s="2" t="s">
        <v>28</v>
      </c>
      <c r="I1223" s="2" t="s">
        <v>29</v>
      </c>
      <c r="J1223" s="2">
        <v>4647.0</v>
      </c>
      <c r="K1223" s="2">
        <v>2486.0</v>
      </c>
      <c r="L1223" s="2">
        <v>696.0</v>
      </c>
      <c r="M1223" s="2">
        <v>670.0</v>
      </c>
      <c r="N1223" s="2">
        <v>521.0</v>
      </c>
      <c r="O1223" s="2">
        <v>968.0</v>
      </c>
      <c r="P1223" s="2">
        <v>818.0</v>
      </c>
      <c r="Q1223" s="2">
        <v>171.0</v>
      </c>
      <c r="R1223" s="2">
        <v>18943.0</v>
      </c>
      <c r="S1223" s="2">
        <v>11598.0</v>
      </c>
      <c r="T1223" s="2">
        <v>7345.0</v>
      </c>
      <c r="U1223" s="2">
        <v>11351.0</v>
      </c>
      <c r="V1223" s="2">
        <v>247.0</v>
      </c>
      <c r="W1223" s="2">
        <v>7593.0</v>
      </c>
    </row>
    <row r="1224" ht="15.0" customHeight="1">
      <c r="A1224" s="2">
        <v>2025.0</v>
      </c>
      <c r="B1224" s="2" t="s">
        <v>57</v>
      </c>
      <c r="C1224" s="2">
        <v>9.0</v>
      </c>
      <c r="D1224" s="2" t="s">
        <v>78</v>
      </c>
      <c r="E1224" s="2" t="s">
        <v>63</v>
      </c>
      <c r="F1224" s="2" t="s">
        <v>26</v>
      </c>
      <c r="G1224" s="2" t="s">
        <v>27</v>
      </c>
      <c r="H1224" s="2" t="s">
        <v>28</v>
      </c>
      <c r="I1224" s="2" t="s">
        <v>30</v>
      </c>
      <c r="J1224" s="2">
        <v>1736.0</v>
      </c>
      <c r="K1224" s="2">
        <v>696.0</v>
      </c>
      <c r="L1224" s="2">
        <v>167.0</v>
      </c>
      <c r="M1224" s="2">
        <v>160.0</v>
      </c>
      <c r="N1224" s="2">
        <v>121.0</v>
      </c>
      <c r="O1224" s="2">
        <v>223.0</v>
      </c>
      <c r="P1224" s="2">
        <v>192.0</v>
      </c>
      <c r="Q1224" s="2">
        <v>33.0</v>
      </c>
      <c r="R1224" s="2">
        <v>4492.0</v>
      </c>
      <c r="S1224" s="2">
        <v>2069.0</v>
      </c>
      <c r="T1224" s="2">
        <v>2423.0</v>
      </c>
      <c r="U1224" s="2">
        <v>2069.0</v>
      </c>
      <c r="V1224" s="2">
        <v>0.0</v>
      </c>
      <c r="W1224" s="2">
        <v>2423.0</v>
      </c>
    </row>
    <row r="1225" ht="15.0" customHeight="1">
      <c r="A1225" s="2">
        <v>2025.0</v>
      </c>
      <c r="B1225" s="2" t="s">
        <v>57</v>
      </c>
      <c r="C1225" s="2">
        <v>9.0</v>
      </c>
      <c r="D1225" s="2" t="s">
        <v>78</v>
      </c>
      <c r="E1225" s="2" t="s">
        <v>63</v>
      </c>
      <c r="F1225" s="2" t="s">
        <v>26</v>
      </c>
      <c r="G1225" s="2" t="s">
        <v>27</v>
      </c>
      <c r="H1225" s="2" t="s">
        <v>28</v>
      </c>
      <c r="I1225" s="2" t="s">
        <v>31</v>
      </c>
      <c r="J1225" s="2">
        <v>415.0</v>
      </c>
      <c r="K1225" s="2">
        <v>289.0</v>
      </c>
      <c r="L1225" s="2">
        <v>221.0</v>
      </c>
      <c r="M1225" s="2">
        <v>194.0</v>
      </c>
      <c r="N1225" s="2">
        <v>144.0</v>
      </c>
      <c r="O1225" s="2">
        <v>254.0</v>
      </c>
      <c r="P1225" s="2">
        <v>202.0</v>
      </c>
      <c r="Q1225" s="2">
        <v>54.0</v>
      </c>
      <c r="R1225" s="2">
        <v>4676.0</v>
      </c>
      <c r="S1225" s="2">
        <v>552.0</v>
      </c>
      <c r="T1225" s="2">
        <v>4124.0</v>
      </c>
      <c r="U1225" s="2">
        <v>552.0</v>
      </c>
      <c r="V1225" s="2">
        <v>0.0</v>
      </c>
      <c r="W1225" s="2">
        <v>4124.0</v>
      </c>
    </row>
    <row r="1226" ht="15.0" customHeight="1">
      <c r="A1226" s="2">
        <v>2025.0</v>
      </c>
      <c r="B1226" s="2" t="s">
        <v>57</v>
      </c>
      <c r="C1226" s="2">
        <v>9.0</v>
      </c>
      <c r="D1226" s="2" t="s">
        <v>78</v>
      </c>
      <c r="E1226" s="2" t="s">
        <v>63</v>
      </c>
      <c r="F1226" s="2" t="s">
        <v>26</v>
      </c>
      <c r="G1226" s="2" t="s">
        <v>32</v>
      </c>
      <c r="H1226" s="2" t="s">
        <v>28</v>
      </c>
      <c r="I1226" s="2" t="s">
        <v>29</v>
      </c>
      <c r="J1226" s="2">
        <v>15924.0</v>
      </c>
      <c r="K1226" s="2">
        <v>8568.0</v>
      </c>
      <c r="L1226" s="2">
        <v>4247.0</v>
      </c>
      <c r="M1226" s="2">
        <v>4047.0</v>
      </c>
      <c r="N1226" s="2">
        <v>2690.0</v>
      </c>
      <c r="O1226" s="2">
        <v>3419.0</v>
      </c>
      <c r="P1226" s="2">
        <v>2996.0</v>
      </c>
      <c r="Q1226" s="2">
        <v>7.0</v>
      </c>
      <c r="R1226" s="2">
        <v>27852.0</v>
      </c>
      <c r="S1226" s="2">
        <v>14883.0</v>
      </c>
      <c r="T1226" s="2">
        <v>12970.0</v>
      </c>
      <c r="U1226" s="2">
        <v>14724.0</v>
      </c>
      <c r="V1226" s="2">
        <v>158.0</v>
      </c>
      <c r="W1226" s="2">
        <v>13128.0</v>
      </c>
    </row>
    <row r="1227" ht="15.0" customHeight="1">
      <c r="A1227" s="2">
        <v>2025.0</v>
      </c>
      <c r="B1227" s="2" t="s">
        <v>57</v>
      </c>
      <c r="C1227" s="2">
        <v>9.0</v>
      </c>
      <c r="D1227" s="2" t="s">
        <v>78</v>
      </c>
      <c r="E1227" s="2" t="s">
        <v>63</v>
      </c>
      <c r="F1227" s="2" t="s">
        <v>26</v>
      </c>
      <c r="G1227" s="2" t="s">
        <v>32</v>
      </c>
      <c r="H1227" s="2" t="s">
        <v>28</v>
      </c>
      <c r="I1227" s="2" t="s">
        <v>30</v>
      </c>
      <c r="J1227" s="2">
        <v>12692.0</v>
      </c>
      <c r="K1227" s="2">
        <v>4305.0</v>
      </c>
      <c r="L1227" s="2">
        <v>1941.0</v>
      </c>
      <c r="M1227" s="2">
        <v>1859.0</v>
      </c>
      <c r="N1227" s="2">
        <v>1152.0</v>
      </c>
      <c r="O1227" s="2">
        <v>1406.0</v>
      </c>
      <c r="P1227" s="2">
        <v>1221.0</v>
      </c>
      <c r="Q1227" s="2">
        <v>2.0</v>
      </c>
      <c r="R1227" s="2">
        <v>10714.0</v>
      </c>
      <c r="S1227" s="2">
        <v>10149.0</v>
      </c>
      <c r="T1227" s="2">
        <v>563.0</v>
      </c>
      <c r="U1227" s="2">
        <v>10149.0</v>
      </c>
      <c r="V1227" s="2">
        <v>0.0</v>
      </c>
      <c r="W1227" s="2">
        <v>563.0</v>
      </c>
    </row>
    <row r="1228" ht="15.0" customHeight="1">
      <c r="A1228" s="2">
        <v>2025.0</v>
      </c>
      <c r="B1228" s="2" t="s">
        <v>57</v>
      </c>
      <c r="C1228" s="2">
        <v>9.0</v>
      </c>
      <c r="D1228" s="2" t="s">
        <v>78</v>
      </c>
      <c r="E1228" s="2" t="s">
        <v>63</v>
      </c>
      <c r="F1228" s="2" t="s">
        <v>26</v>
      </c>
      <c r="G1228" s="2" t="s">
        <v>32</v>
      </c>
      <c r="H1228" s="2" t="s">
        <v>28</v>
      </c>
      <c r="I1228" s="2" t="s">
        <v>31</v>
      </c>
      <c r="J1228" s="2">
        <v>7168.0</v>
      </c>
      <c r="K1228" s="2">
        <v>4349.0</v>
      </c>
      <c r="L1228" s="2">
        <v>2789.0</v>
      </c>
      <c r="M1228" s="2">
        <v>2539.0</v>
      </c>
      <c r="N1228" s="2">
        <v>1580.0</v>
      </c>
      <c r="O1228" s="2">
        <v>1981.0</v>
      </c>
      <c r="P1228" s="2">
        <v>1731.0</v>
      </c>
      <c r="Q1228" s="2">
        <v>0.0</v>
      </c>
      <c r="R1228" s="2">
        <v>15745.0</v>
      </c>
      <c r="S1228" s="2">
        <v>712.0</v>
      </c>
      <c r="T1228" s="2">
        <v>15033.0</v>
      </c>
      <c r="U1228" s="2">
        <v>712.0</v>
      </c>
      <c r="V1228" s="2">
        <v>0.0</v>
      </c>
      <c r="W1228" s="2">
        <v>15033.0</v>
      </c>
    </row>
    <row r="1229" ht="15.0" customHeight="1">
      <c r="A1229" s="2">
        <v>2025.0</v>
      </c>
      <c r="B1229" s="2" t="s">
        <v>57</v>
      </c>
      <c r="C1229" s="2">
        <v>9.0</v>
      </c>
      <c r="D1229" s="2" t="s">
        <v>78</v>
      </c>
      <c r="E1229" s="2" t="s">
        <v>63</v>
      </c>
      <c r="F1229" s="2" t="s">
        <v>26</v>
      </c>
      <c r="G1229" s="2" t="s">
        <v>33</v>
      </c>
      <c r="H1229" s="2" t="s">
        <v>28</v>
      </c>
      <c r="I1229" s="2" t="s">
        <v>29</v>
      </c>
      <c r="J1229" s="2">
        <v>10906.0</v>
      </c>
      <c r="K1229" s="2">
        <v>6091.0</v>
      </c>
      <c r="L1229" s="2">
        <v>2787.0</v>
      </c>
      <c r="M1229" s="2">
        <v>2647.0</v>
      </c>
      <c r="N1229" s="2">
        <v>1509.0</v>
      </c>
      <c r="O1229" s="2">
        <v>1800.0</v>
      </c>
      <c r="P1229" s="2">
        <v>1685.0</v>
      </c>
      <c r="Q1229" s="2">
        <v>213.0</v>
      </c>
      <c r="R1229" s="2">
        <v>18516.0</v>
      </c>
      <c r="S1229" s="2">
        <v>11781.0</v>
      </c>
      <c r="T1229" s="2">
        <v>6735.0</v>
      </c>
      <c r="U1229" s="2">
        <v>11772.0</v>
      </c>
      <c r="V1229" s="2">
        <v>9.0</v>
      </c>
      <c r="W1229" s="2">
        <v>6744.0</v>
      </c>
    </row>
    <row r="1230" ht="15.0" customHeight="1">
      <c r="A1230" s="2">
        <v>2025.0</v>
      </c>
      <c r="B1230" s="2" t="s">
        <v>57</v>
      </c>
      <c r="C1230" s="2">
        <v>9.0</v>
      </c>
      <c r="D1230" s="2" t="s">
        <v>78</v>
      </c>
      <c r="E1230" s="2" t="s">
        <v>63</v>
      </c>
      <c r="F1230" s="2" t="s">
        <v>26</v>
      </c>
      <c r="G1230" s="2" t="s">
        <v>33</v>
      </c>
      <c r="H1230" s="2" t="s">
        <v>28</v>
      </c>
      <c r="I1230" s="2" t="s">
        <v>30</v>
      </c>
      <c r="J1230" s="2">
        <v>4130.0</v>
      </c>
      <c r="K1230" s="2">
        <v>1930.0</v>
      </c>
      <c r="L1230" s="2">
        <v>856.0</v>
      </c>
      <c r="M1230" s="2">
        <v>812.0</v>
      </c>
      <c r="N1230" s="2">
        <v>470.0</v>
      </c>
      <c r="O1230" s="2">
        <v>582.0</v>
      </c>
      <c r="P1230" s="2">
        <v>544.0</v>
      </c>
      <c r="Q1230" s="2">
        <v>25.0</v>
      </c>
      <c r="R1230" s="2">
        <v>5395.0</v>
      </c>
      <c r="S1230" s="2">
        <v>3581.0</v>
      </c>
      <c r="T1230" s="2">
        <v>1815.0</v>
      </c>
      <c r="U1230" s="2">
        <v>3581.0</v>
      </c>
      <c r="V1230" s="2">
        <v>0.0</v>
      </c>
      <c r="W1230" s="2">
        <v>1815.0</v>
      </c>
    </row>
    <row r="1231" ht="15.0" customHeight="1">
      <c r="A1231" s="2">
        <v>2025.0</v>
      </c>
      <c r="B1231" s="2" t="s">
        <v>57</v>
      </c>
      <c r="C1231" s="2">
        <v>9.0</v>
      </c>
      <c r="D1231" s="2" t="s">
        <v>78</v>
      </c>
      <c r="E1231" s="2" t="s">
        <v>63</v>
      </c>
      <c r="F1231" s="2" t="s">
        <v>26</v>
      </c>
      <c r="G1231" s="2" t="s">
        <v>33</v>
      </c>
      <c r="H1231" s="2" t="s">
        <v>28</v>
      </c>
      <c r="I1231" s="2" t="s">
        <v>31</v>
      </c>
      <c r="J1231" s="2">
        <v>823.0</v>
      </c>
      <c r="K1231" s="2">
        <v>337.0</v>
      </c>
      <c r="L1231" s="2">
        <v>215.0</v>
      </c>
      <c r="M1231" s="2">
        <v>188.0</v>
      </c>
      <c r="N1231" s="2">
        <v>100.0</v>
      </c>
      <c r="O1231" s="2">
        <v>118.0</v>
      </c>
      <c r="P1231" s="2">
        <v>113.0</v>
      </c>
      <c r="Q1231" s="2">
        <v>14.0</v>
      </c>
      <c r="R1231" s="2">
        <v>1258.0</v>
      </c>
      <c r="S1231" s="2">
        <v>85.0</v>
      </c>
      <c r="T1231" s="2">
        <v>1173.0</v>
      </c>
      <c r="U1231" s="2">
        <v>85.0</v>
      </c>
      <c r="V1231" s="2">
        <v>0.0</v>
      </c>
      <c r="W1231" s="2">
        <v>1173.0</v>
      </c>
    </row>
    <row r="1232" ht="15.0" customHeight="1">
      <c r="A1232" s="2">
        <v>2025.0</v>
      </c>
      <c r="B1232" s="2" t="s">
        <v>57</v>
      </c>
      <c r="C1232" s="2">
        <v>9.0</v>
      </c>
      <c r="D1232" s="2" t="s">
        <v>78</v>
      </c>
      <c r="E1232" s="2" t="s">
        <v>63</v>
      </c>
      <c r="F1232" s="2" t="s">
        <v>26</v>
      </c>
      <c r="G1232" s="2" t="s">
        <v>34</v>
      </c>
      <c r="H1232" s="2" t="s">
        <v>35</v>
      </c>
      <c r="I1232" s="2" t="s">
        <v>29</v>
      </c>
      <c r="J1232" s="2">
        <v>8318.0</v>
      </c>
      <c r="K1232" s="2">
        <v>5375.0</v>
      </c>
      <c r="L1232" s="2">
        <v>2797.0</v>
      </c>
      <c r="M1232" s="2">
        <v>2679.0</v>
      </c>
      <c r="N1232" s="2">
        <v>877.0</v>
      </c>
      <c r="O1232" s="2">
        <v>1136.0</v>
      </c>
      <c r="P1232" s="2">
        <v>825.0</v>
      </c>
      <c r="Q1232" s="2">
        <v>0.0</v>
      </c>
      <c r="R1232" s="2">
        <v>11543.0</v>
      </c>
      <c r="S1232" s="2">
        <v>6468.0</v>
      </c>
      <c r="T1232" s="2">
        <v>5074.0</v>
      </c>
      <c r="U1232" s="2">
        <v>5980.0</v>
      </c>
      <c r="V1232" s="2">
        <v>488.0</v>
      </c>
      <c r="W1232" s="2">
        <v>5563.0</v>
      </c>
    </row>
    <row r="1233" ht="15.0" customHeight="1">
      <c r="A1233" s="2">
        <v>2025.0</v>
      </c>
      <c r="B1233" s="2" t="s">
        <v>57</v>
      </c>
      <c r="C1233" s="2">
        <v>9.0</v>
      </c>
      <c r="D1233" s="2" t="s">
        <v>78</v>
      </c>
      <c r="E1233" s="2" t="s">
        <v>63</v>
      </c>
      <c r="F1233" s="2" t="s">
        <v>26</v>
      </c>
      <c r="G1233" s="2" t="s">
        <v>34</v>
      </c>
      <c r="H1233" s="2" t="s">
        <v>35</v>
      </c>
      <c r="I1233" s="2" t="s">
        <v>30</v>
      </c>
      <c r="J1233" s="2">
        <v>3860.0</v>
      </c>
      <c r="K1233" s="2">
        <v>1960.0</v>
      </c>
      <c r="L1233" s="2">
        <v>871.0</v>
      </c>
      <c r="M1233" s="2">
        <v>826.0</v>
      </c>
      <c r="N1233" s="2">
        <v>292.0</v>
      </c>
      <c r="O1233" s="2">
        <v>401.0</v>
      </c>
      <c r="P1233" s="2">
        <v>306.0</v>
      </c>
      <c r="Q1233" s="2">
        <v>0.0</v>
      </c>
      <c r="R1233" s="2">
        <v>4278.0</v>
      </c>
      <c r="S1233" s="2">
        <v>1866.0</v>
      </c>
      <c r="T1233" s="2">
        <v>2412.0</v>
      </c>
      <c r="U1233" s="2">
        <v>1866.0</v>
      </c>
      <c r="V1233" s="2">
        <v>0.0</v>
      </c>
      <c r="W1233" s="2">
        <v>2412.0</v>
      </c>
    </row>
    <row r="1234" ht="15.0" customHeight="1">
      <c r="A1234" s="2">
        <v>2025.0</v>
      </c>
      <c r="B1234" s="2" t="s">
        <v>57</v>
      </c>
      <c r="C1234" s="2">
        <v>9.0</v>
      </c>
      <c r="D1234" s="2" t="s">
        <v>78</v>
      </c>
      <c r="E1234" s="2" t="s">
        <v>63</v>
      </c>
      <c r="F1234" s="2" t="s">
        <v>26</v>
      </c>
      <c r="G1234" s="2" t="s">
        <v>34</v>
      </c>
      <c r="H1234" s="2" t="s">
        <v>35</v>
      </c>
      <c r="I1234" s="2" t="s">
        <v>31</v>
      </c>
      <c r="J1234" s="2">
        <v>980.0</v>
      </c>
      <c r="K1234" s="2">
        <v>594.0</v>
      </c>
      <c r="L1234" s="2">
        <v>299.0</v>
      </c>
      <c r="M1234" s="2">
        <v>253.0</v>
      </c>
      <c r="N1234" s="2">
        <v>84.0</v>
      </c>
      <c r="O1234" s="2">
        <v>114.0</v>
      </c>
      <c r="P1234" s="2">
        <v>94.0</v>
      </c>
      <c r="Q1234" s="2">
        <v>0.0</v>
      </c>
      <c r="R1234" s="2">
        <v>1330.0</v>
      </c>
      <c r="S1234" s="2">
        <v>11.0</v>
      </c>
      <c r="T1234" s="2">
        <v>1319.0</v>
      </c>
      <c r="U1234" s="2">
        <v>11.0</v>
      </c>
      <c r="V1234" s="2">
        <v>0.0</v>
      </c>
      <c r="W1234" s="2">
        <v>1319.0</v>
      </c>
    </row>
    <row r="1235" ht="15.0" customHeight="1">
      <c r="A1235" s="2">
        <v>2025.0</v>
      </c>
      <c r="B1235" s="2" t="s">
        <v>57</v>
      </c>
      <c r="C1235" s="2">
        <v>9.0</v>
      </c>
      <c r="D1235" s="2" t="s">
        <v>78</v>
      </c>
      <c r="E1235" s="2" t="s">
        <v>63</v>
      </c>
      <c r="F1235" s="2" t="s">
        <v>26</v>
      </c>
      <c r="G1235" s="2" t="s">
        <v>36</v>
      </c>
      <c r="H1235" s="2" t="s">
        <v>35</v>
      </c>
      <c r="I1235" s="2" t="s">
        <v>29</v>
      </c>
      <c r="J1235" s="2">
        <v>6427.0</v>
      </c>
      <c r="K1235" s="2">
        <v>4422.0</v>
      </c>
      <c r="L1235" s="2">
        <v>2634.0</v>
      </c>
      <c r="M1235" s="2">
        <v>2530.0</v>
      </c>
      <c r="N1235" s="2">
        <v>950.0</v>
      </c>
      <c r="O1235" s="2">
        <v>1212.0</v>
      </c>
      <c r="P1235" s="2">
        <v>947.0</v>
      </c>
      <c r="Q1235" s="2">
        <v>0.0</v>
      </c>
      <c r="R1235" s="2">
        <v>10744.0</v>
      </c>
      <c r="S1235" s="2">
        <v>6941.0</v>
      </c>
      <c r="T1235" s="2">
        <v>3803.0</v>
      </c>
      <c r="U1235" s="2">
        <v>6791.0</v>
      </c>
      <c r="V1235" s="2">
        <v>150.0</v>
      </c>
      <c r="W1235" s="2">
        <v>3952.0</v>
      </c>
    </row>
    <row r="1236" ht="15.0" customHeight="1">
      <c r="A1236" s="2">
        <v>2025.0</v>
      </c>
      <c r="B1236" s="2" t="s">
        <v>57</v>
      </c>
      <c r="C1236" s="2">
        <v>9.0</v>
      </c>
      <c r="D1236" s="2" t="s">
        <v>78</v>
      </c>
      <c r="E1236" s="2" t="s">
        <v>63</v>
      </c>
      <c r="F1236" s="2" t="s">
        <v>26</v>
      </c>
      <c r="G1236" s="2" t="s">
        <v>36</v>
      </c>
      <c r="H1236" s="2" t="s">
        <v>35</v>
      </c>
      <c r="I1236" s="2" t="s">
        <v>30</v>
      </c>
      <c r="J1236" s="2">
        <v>1064.0</v>
      </c>
      <c r="K1236" s="2">
        <v>508.0</v>
      </c>
      <c r="L1236" s="2">
        <v>267.0</v>
      </c>
      <c r="M1236" s="2">
        <v>250.0</v>
      </c>
      <c r="N1236" s="2">
        <v>110.0</v>
      </c>
      <c r="O1236" s="2">
        <v>135.0</v>
      </c>
      <c r="P1236" s="2">
        <v>109.0</v>
      </c>
      <c r="Q1236" s="2">
        <v>0.0</v>
      </c>
      <c r="R1236" s="2">
        <v>1298.0</v>
      </c>
      <c r="S1236" s="2">
        <v>1043.0</v>
      </c>
      <c r="T1236" s="2">
        <v>255.0</v>
      </c>
      <c r="U1236" s="2">
        <v>1043.0</v>
      </c>
      <c r="V1236" s="2">
        <v>0.0</v>
      </c>
      <c r="W1236" s="2">
        <v>255.0</v>
      </c>
    </row>
    <row r="1237" ht="15.0" customHeight="1">
      <c r="A1237" s="2">
        <v>2025.0</v>
      </c>
      <c r="B1237" s="2" t="s">
        <v>57</v>
      </c>
      <c r="C1237" s="2">
        <v>9.0</v>
      </c>
      <c r="D1237" s="2" t="s">
        <v>78</v>
      </c>
      <c r="E1237" s="2" t="s">
        <v>63</v>
      </c>
      <c r="F1237" s="2" t="s">
        <v>26</v>
      </c>
      <c r="G1237" s="2" t="s">
        <v>36</v>
      </c>
      <c r="H1237" s="2" t="s">
        <v>35</v>
      </c>
      <c r="I1237" s="2" t="s">
        <v>31</v>
      </c>
      <c r="J1237" s="2">
        <v>732.0</v>
      </c>
      <c r="K1237" s="2">
        <v>458.0</v>
      </c>
      <c r="L1237" s="2">
        <v>262.0</v>
      </c>
      <c r="M1237" s="2">
        <v>236.0</v>
      </c>
      <c r="N1237" s="2">
        <v>89.0</v>
      </c>
      <c r="O1237" s="2">
        <v>119.0</v>
      </c>
      <c r="P1237" s="2">
        <v>89.0</v>
      </c>
      <c r="Q1237" s="2">
        <v>0.0</v>
      </c>
      <c r="R1237" s="2">
        <v>1111.0</v>
      </c>
      <c r="S1237" s="2">
        <v>4.0</v>
      </c>
      <c r="T1237" s="2">
        <v>1107.0</v>
      </c>
      <c r="U1237" s="2">
        <v>4.0</v>
      </c>
      <c r="V1237" s="2">
        <v>0.0</v>
      </c>
      <c r="W1237" s="2">
        <v>1107.0</v>
      </c>
    </row>
    <row r="1238" ht="15.0" customHeight="1">
      <c r="A1238" s="2">
        <v>2025.0</v>
      </c>
      <c r="B1238" s="2" t="s">
        <v>57</v>
      </c>
      <c r="C1238" s="2">
        <v>9.0</v>
      </c>
      <c r="D1238" s="2" t="s">
        <v>78</v>
      </c>
      <c r="E1238" s="2" t="s">
        <v>63</v>
      </c>
      <c r="F1238" s="2" t="s">
        <v>26</v>
      </c>
      <c r="G1238" s="2" t="s">
        <v>37</v>
      </c>
      <c r="H1238" s="2" t="s">
        <v>35</v>
      </c>
      <c r="I1238" s="2" t="s">
        <v>29</v>
      </c>
      <c r="J1238" s="2">
        <v>1133.0</v>
      </c>
      <c r="K1238" s="2">
        <v>575.0</v>
      </c>
      <c r="L1238" s="2">
        <v>232.0</v>
      </c>
      <c r="M1238" s="2">
        <v>211.0</v>
      </c>
      <c r="N1238" s="2">
        <v>168.0</v>
      </c>
      <c r="O1238" s="2">
        <v>483.0</v>
      </c>
      <c r="P1238" s="2">
        <v>374.0</v>
      </c>
      <c r="Q1238" s="2">
        <v>0.0</v>
      </c>
      <c r="R1238" s="2">
        <v>9679.0</v>
      </c>
      <c r="S1238" s="2">
        <v>5828.0</v>
      </c>
      <c r="T1238" s="2">
        <v>3851.0</v>
      </c>
      <c r="U1238" s="2">
        <v>5828.0</v>
      </c>
      <c r="V1238" s="2">
        <v>0.0</v>
      </c>
      <c r="W1238" s="2">
        <v>3851.0</v>
      </c>
    </row>
    <row r="1239" ht="15.0" customHeight="1">
      <c r="A1239" s="2">
        <v>2025.0</v>
      </c>
      <c r="B1239" s="2" t="s">
        <v>57</v>
      </c>
      <c r="C1239" s="2">
        <v>9.0</v>
      </c>
      <c r="D1239" s="2" t="s">
        <v>78</v>
      </c>
      <c r="E1239" s="2" t="s">
        <v>63</v>
      </c>
      <c r="F1239" s="2" t="s">
        <v>26</v>
      </c>
      <c r="G1239" s="2" t="s">
        <v>37</v>
      </c>
      <c r="H1239" s="2" t="s">
        <v>35</v>
      </c>
      <c r="I1239" s="2" t="s">
        <v>30</v>
      </c>
      <c r="J1239" s="2">
        <v>284.0</v>
      </c>
      <c r="K1239" s="2">
        <v>101.0</v>
      </c>
      <c r="L1239" s="2">
        <v>44.0</v>
      </c>
      <c r="M1239" s="2">
        <v>43.0</v>
      </c>
      <c r="N1239" s="2">
        <v>36.0</v>
      </c>
      <c r="O1239" s="2">
        <v>94.0</v>
      </c>
      <c r="P1239" s="2">
        <v>68.0</v>
      </c>
      <c r="Q1239" s="2">
        <v>0.0</v>
      </c>
      <c r="R1239" s="2">
        <v>1863.0</v>
      </c>
      <c r="S1239" s="2">
        <v>907.0</v>
      </c>
      <c r="T1239" s="2">
        <v>956.0</v>
      </c>
      <c r="U1239" s="2">
        <v>907.0</v>
      </c>
      <c r="V1239" s="2">
        <v>0.0</v>
      </c>
      <c r="W1239" s="2">
        <v>956.0</v>
      </c>
    </row>
    <row r="1240" ht="15.0" customHeight="1">
      <c r="A1240" s="2">
        <v>2025.0</v>
      </c>
      <c r="B1240" s="2" t="s">
        <v>57</v>
      </c>
      <c r="C1240" s="2">
        <v>9.0</v>
      </c>
      <c r="D1240" s="2" t="s">
        <v>78</v>
      </c>
      <c r="E1240" s="2" t="s">
        <v>63</v>
      </c>
      <c r="F1240" s="2" t="s">
        <v>26</v>
      </c>
      <c r="G1240" s="2" t="s">
        <v>37</v>
      </c>
      <c r="H1240" s="2" t="s">
        <v>35</v>
      </c>
      <c r="I1240" s="2" t="s">
        <v>31</v>
      </c>
      <c r="J1240" s="2">
        <v>38.0</v>
      </c>
      <c r="K1240" s="2">
        <v>33.0</v>
      </c>
      <c r="L1240" s="2">
        <v>11.0</v>
      </c>
      <c r="M1240" s="2">
        <v>8.0</v>
      </c>
      <c r="N1240" s="2">
        <v>7.0</v>
      </c>
      <c r="O1240" s="2">
        <v>23.0</v>
      </c>
      <c r="P1240" s="2">
        <v>20.0</v>
      </c>
      <c r="Q1240" s="2">
        <v>0.0</v>
      </c>
      <c r="R1240" s="2">
        <v>532.0</v>
      </c>
      <c r="S1240" s="2">
        <v>0.0</v>
      </c>
      <c r="T1240" s="2">
        <v>532.0</v>
      </c>
      <c r="U1240" s="2">
        <v>0.0</v>
      </c>
      <c r="V1240" s="2">
        <v>0.0</v>
      </c>
      <c r="W1240" s="2">
        <v>532.0</v>
      </c>
    </row>
    <row r="1241" ht="15.0" customHeight="1">
      <c r="A1241" s="2">
        <v>2025.0</v>
      </c>
      <c r="B1241" s="2" t="s">
        <v>57</v>
      </c>
      <c r="C1241" s="2">
        <v>9.0</v>
      </c>
      <c r="D1241" s="2" t="s">
        <v>78</v>
      </c>
      <c r="E1241" s="2" t="s">
        <v>63</v>
      </c>
      <c r="F1241" s="2" t="s">
        <v>26</v>
      </c>
      <c r="G1241" s="2" t="s">
        <v>38</v>
      </c>
      <c r="H1241" s="2" t="s">
        <v>35</v>
      </c>
      <c r="I1241" s="2" t="s">
        <v>29</v>
      </c>
      <c r="J1241" s="2">
        <v>2746.0</v>
      </c>
      <c r="K1241" s="2">
        <v>1591.0</v>
      </c>
      <c r="L1241" s="2">
        <v>894.0</v>
      </c>
      <c r="M1241" s="2">
        <v>864.0</v>
      </c>
      <c r="N1241" s="2">
        <v>587.0</v>
      </c>
      <c r="O1241" s="2">
        <v>862.0</v>
      </c>
      <c r="P1241" s="2">
        <v>567.0</v>
      </c>
      <c r="Q1241" s="2">
        <v>4.0</v>
      </c>
      <c r="R1241" s="2">
        <v>9817.0</v>
      </c>
      <c r="S1241" s="2">
        <v>4959.0</v>
      </c>
      <c r="T1241" s="2">
        <v>4857.0</v>
      </c>
      <c r="U1241" s="2">
        <v>4939.0</v>
      </c>
      <c r="V1241" s="2">
        <v>21.0</v>
      </c>
      <c r="W1241" s="2">
        <v>4878.0</v>
      </c>
    </row>
    <row r="1242" ht="15.0" customHeight="1">
      <c r="A1242" s="2">
        <v>2025.0</v>
      </c>
      <c r="B1242" s="2" t="s">
        <v>57</v>
      </c>
      <c r="C1242" s="2">
        <v>9.0</v>
      </c>
      <c r="D1242" s="2" t="s">
        <v>78</v>
      </c>
      <c r="E1242" s="2" t="s">
        <v>63</v>
      </c>
      <c r="F1242" s="2" t="s">
        <v>26</v>
      </c>
      <c r="G1242" s="2" t="s">
        <v>38</v>
      </c>
      <c r="H1242" s="2" t="s">
        <v>35</v>
      </c>
      <c r="I1242" s="2" t="s">
        <v>30</v>
      </c>
      <c r="J1242" s="2">
        <v>3123.0</v>
      </c>
      <c r="K1242" s="2">
        <v>1154.0</v>
      </c>
      <c r="L1242" s="2">
        <v>764.0</v>
      </c>
      <c r="M1242" s="2">
        <v>739.0</v>
      </c>
      <c r="N1242" s="2">
        <v>464.0</v>
      </c>
      <c r="O1242" s="2">
        <v>652.0</v>
      </c>
      <c r="P1242" s="2">
        <v>401.0</v>
      </c>
      <c r="Q1242" s="2">
        <v>3.0</v>
      </c>
      <c r="R1242" s="2">
        <v>6928.0</v>
      </c>
      <c r="S1242" s="2">
        <v>6743.0</v>
      </c>
      <c r="T1242" s="2">
        <v>186.0</v>
      </c>
      <c r="U1242" s="2">
        <v>6743.0</v>
      </c>
      <c r="V1242" s="2">
        <v>0.0</v>
      </c>
      <c r="W1242" s="2">
        <v>186.0</v>
      </c>
    </row>
    <row r="1243" ht="15.0" customHeight="1">
      <c r="A1243" s="2">
        <v>2025.0</v>
      </c>
      <c r="B1243" s="2" t="s">
        <v>57</v>
      </c>
      <c r="C1243" s="2">
        <v>9.0</v>
      </c>
      <c r="D1243" s="2" t="s">
        <v>78</v>
      </c>
      <c r="E1243" s="2" t="s">
        <v>63</v>
      </c>
      <c r="F1243" s="2" t="s">
        <v>26</v>
      </c>
      <c r="G1243" s="2" t="s">
        <v>38</v>
      </c>
      <c r="H1243" s="2" t="s">
        <v>35</v>
      </c>
      <c r="I1243" s="2" t="s">
        <v>31</v>
      </c>
      <c r="J1243" s="2">
        <v>852.0</v>
      </c>
      <c r="K1243" s="2">
        <v>452.0</v>
      </c>
      <c r="L1243" s="2">
        <v>239.0</v>
      </c>
      <c r="M1243" s="2">
        <v>224.0</v>
      </c>
      <c r="N1243" s="2">
        <v>144.0</v>
      </c>
      <c r="O1243" s="2">
        <v>199.0</v>
      </c>
      <c r="P1243" s="2">
        <v>128.0</v>
      </c>
      <c r="Q1243" s="2">
        <v>0.0</v>
      </c>
      <c r="R1243" s="2">
        <v>2389.0</v>
      </c>
      <c r="S1243" s="2">
        <v>0.0</v>
      </c>
      <c r="T1243" s="2">
        <v>2389.0</v>
      </c>
      <c r="U1243" s="2">
        <v>0.0</v>
      </c>
      <c r="V1243" s="2">
        <v>0.0</v>
      </c>
      <c r="W1243" s="2">
        <v>2389.0</v>
      </c>
    </row>
    <row r="1244" ht="15.0" customHeight="1">
      <c r="A1244" s="2">
        <v>2025.0</v>
      </c>
      <c r="B1244" s="2" t="s">
        <v>57</v>
      </c>
      <c r="C1244" s="2">
        <v>9.0</v>
      </c>
      <c r="D1244" s="2" t="s">
        <v>78</v>
      </c>
      <c r="E1244" s="2" t="s">
        <v>63</v>
      </c>
      <c r="F1244" s="2" t="s">
        <v>26</v>
      </c>
      <c r="G1244" s="2" t="s">
        <v>39</v>
      </c>
      <c r="H1244" s="2" t="s">
        <v>40</v>
      </c>
      <c r="I1244" s="2" t="s">
        <v>29</v>
      </c>
      <c r="J1244" s="2">
        <v>7631.0</v>
      </c>
      <c r="K1244" s="2">
        <v>4895.0</v>
      </c>
      <c r="L1244" s="2">
        <v>2806.0</v>
      </c>
      <c r="M1244" s="2">
        <v>2636.0</v>
      </c>
      <c r="N1244" s="2">
        <v>1043.0</v>
      </c>
      <c r="O1244" s="2">
        <v>1291.0</v>
      </c>
      <c r="P1244" s="2">
        <v>744.0</v>
      </c>
      <c r="Q1244" s="2">
        <v>0.0</v>
      </c>
      <c r="R1244" s="2">
        <v>11361.0</v>
      </c>
      <c r="S1244" s="2">
        <v>6749.0</v>
      </c>
      <c r="T1244" s="2">
        <v>4612.0</v>
      </c>
      <c r="U1244" s="2">
        <v>6642.0</v>
      </c>
      <c r="V1244" s="2">
        <v>106.0</v>
      </c>
      <c r="W1244" s="2">
        <v>4718.0</v>
      </c>
    </row>
    <row r="1245" ht="15.0" customHeight="1">
      <c r="A1245" s="2">
        <v>2025.0</v>
      </c>
      <c r="B1245" s="2" t="s">
        <v>57</v>
      </c>
      <c r="C1245" s="2">
        <v>9.0</v>
      </c>
      <c r="D1245" s="2" t="s">
        <v>78</v>
      </c>
      <c r="E1245" s="2" t="s">
        <v>63</v>
      </c>
      <c r="F1245" s="2" t="s">
        <v>26</v>
      </c>
      <c r="G1245" s="2" t="s">
        <v>39</v>
      </c>
      <c r="H1245" s="2" t="s">
        <v>40</v>
      </c>
      <c r="I1245" s="2" t="s">
        <v>30</v>
      </c>
      <c r="J1245" s="2">
        <v>3203.0</v>
      </c>
      <c r="K1245" s="2">
        <v>1499.0</v>
      </c>
      <c r="L1245" s="2">
        <v>662.0</v>
      </c>
      <c r="M1245" s="2">
        <v>614.0</v>
      </c>
      <c r="N1245" s="2">
        <v>218.0</v>
      </c>
      <c r="O1245" s="2">
        <v>270.0</v>
      </c>
      <c r="P1245" s="2">
        <v>158.0</v>
      </c>
      <c r="Q1245" s="2">
        <v>0.0</v>
      </c>
      <c r="R1245" s="2">
        <v>2280.0</v>
      </c>
      <c r="S1245" s="2">
        <v>2535.0</v>
      </c>
      <c r="T1245" s="2">
        <v>-255.0</v>
      </c>
      <c r="U1245" s="2">
        <v>2535.0</v>
      </c>
      <c r="V1245" s="2">
        <v>0.0</v>
      </c>
      <c r="W1245" s="2">
        <v>-255.0</v>
      </c>
    </row>
    <row r="1246" ht="15.0" customHeight="1">
      <c r="A1246" s="2">
        <v>2025.0</v>
      </c>
      <c r="B1246" s="2" t="s">
        <v>57</v>
      </c>
      <c r="C1246" s="2">
        <v>9.0</v>
      </c>
      <c r="D1246" s="2" t="s">
        <v>78</v>
      </c>
      <c r="E1246" s="2" t="s">
        <v>63</v>
      </c>
      <c r="F1246" s="2" t="s">
        <v>26</v>
      </c>
      <c r="G1246" s="2" t="s">
        <v>39</v>
      </c>
      <c r="H1246" s="2" t="s">
        <v>40</v>
      </c>
      <c r="I1246" s="2" t="s">
        <v>31</v>
      </c>
      <c r="J1246" s="2">
        <v>2729.0</v>
      </c>
      <c r="K1246" s="2">
        <v>1691.0</v>
      </c>
      <c r="L1246" s="2">
        <v>783.0</v>
      </c>
      <c r="M1246" s="2">
        <v>677.0</v>
      </c>
      <c r="N1246" s="2">
        <v>267.0</v>
      </c>
      <c r="O1246" s="2">
        <v>343.0</v>
      </c>
      <c r="P1246" s="2">
        <v>201.0</v>
      </c>
      <c r="Q1246" s="2">
        <v>0.0</v>
      </c>
      <c r="R1246" s="2">
        <v>3035.0</v>
      </c>
      <c r="S1246" s="2">
        <v>60.0</v>
      </c>
      <c r="T1246" s="2">
        <v>2976.0</v>
      </c>
      <c r="U1246" s="2">
        <v>60.0</v>
      </c>
      <c r="V1246" s="2">
        <v>0.0</v>
      </c>
      <c r="W1246" s="2">
        <v>2976.0</v>
      </c>
    </row>
    <row r="1247" ht="15.0" customHeight="1">
      <c r="A1247" s="2">
        <v>2025.0</v>
      </c>
      <c r="B1247" s="2" t="s">
        <v>57</v>
      </c>
      <c r="C1247" s="2">
        <v>9.0</v>
      </c>
      <c r="D1247" s="2" t="s">
        <v>78</v>
      </c>
      <c r="E1247" s="2" t="s">
        <v>63</v>
      </c>
      <c r="F1247" s="2" t="s">
        <v>26</v>
      </c>
      <c r="G1247" s="2" t="s">
        <v>41</v>
      </c>
      <c r="H1247" s="2" t="s">
        <v>42</v>
      </c>
      <c r="I1247" s="2" t="s">
        <v>29</v>
      </c>
      <c r="J1247" s="2">
        <v>19347.0</v>
      </c>
      <c r="K1247" s="2">
        <v>10334.0</v>
      </c>
      <c r="L1247" s="2">
        <v>5919.0</v>
      </c>
      <c r="M1247" s="2">
        <v>5570.0</v>
      </c>
      <c r="N1247" s="2">
        <v>2852.0</v>
      </c>
      <c r="O1247" s="2">
        <v>3499.0</v>
      </c>
      <c r="P1247" s="2">
        <v>2827.0</v>
      </c>
      <c r="Q1247" s="2">
        <v>5.0</v>
      </c>
      <c r="R1247" s="2">
        <v>23979.0</v>
      </c>
      <c r="S1247" s="2">
        <v>16041.0</v>
      </c>
      <c r="T1247" s="2">
        <v>7938.0</v>
      </c>
      <c r="U1247" s="2">
        <v>15839.0</v>
      </c>
      <c r="V1247" s="2">
        <v>202.0</v>
      </c>
      <c r="W1247" s="2">
        <v>8141.0</v>
      </c>
    </row>
    <row r="1248" ht="15.0" customHeight="1">
      <c r="A1248" s="2">
        <v>2025.0</v>
      </c>
      <c r="B1248" s="2" t="s">
        <v>57</v>
      </c>
      <c r="C1248" s="2">
        <v>9.0</v>
      </c>
      <c r="D1248" s="2" t="s">
        <v>78</v>
      </c>
      <c r="E1248" s="2" t="s">
        <v>63</v>
      </c>
      <c r="F1248" s="2" t="s">
        <v>26</v>
      </c>
      <c r="G1248" s="2" t="s">
        <v>41</v>
      </c>
      <c r="H1248" s="2" t="s">
        <v>42</v>
      </c>
      <c r="I1248" s="2" t="s">
        <v>30</v>
      </c>
      <c r="J1248" s="2">
        <v>20443.0</v>
      </c>
      <c r="K1248" s="2">
        <v>9175.0</v>
      </c>
      <c r="L1248" s="2">
        <v>4473.0</v>
      </c>
      <c r="M1248" s="2">
        <v>4260.0</v>
      </c>
      <c r="N1248" s="2">
        <v>1974.0</v>
      </c>
      <c r="O1248" s="2">
        <v>2369.0</v>
      </c>
      <c r="P1248" s="2">
        <v>1898.0</v>
      </c>
      <c r="Q1248" s="2">
        <v>4.0</v>
      </c>
      <c r="R1248" s="2">
        <v>14960.0</v>
      </c>
      <c r="S1248" s="2">
        <v>14766.0</v>
      </c>
      <c r="T1248" s="2">
        <v>194.0</v>
      </c>
      <c r="U1248" s="2">
        <v>14766.0</v>
      </c>
      <c r="V1248" s="2">
        <v>0.0</v>
      </c>
      <c r="W1248" s="2">
        <v>194.0</v>
      </c>
    </row>
    <row r="1249" ht="15.0" customHeight="1">
      <c r="A1249" s="2">
        <v>2025.0</v>
      </c>
      <c r="B1249" s="2" t="s">
        <v>57</v>
      </c>
      <c r="C1249" s="2">
        <v>9.0</v>
      </c>
      <c r="D1249" s="2" t="s">
        <v>78</v>
      </c>
      <c r="E1249" s="2" t="s">
        <v>63</v>
      </c>
      <c r="F1249" s="2" t="s">
        <v>26</v>
      </c>
      <c r="G1249" s="2" t="s">
        <v>41</v>
      </c>
      <c r="H1249" s="2" t="s">
        <v>42</v>
      </c>
      <c r="I1249" s="2" t="s">
        <v>31</v>
      </c>
      <c r="J1249" s="2">
        <v>18939.0</v>
      </c>
      <c r="K1249" s="2">
        <v>9646.0</v>
      </c>
      <c r="L1249" s="2">
        <v>7565.0</v>
      </c>
      <c r="M1249" s="2">
        <v>6725.0</v>
      </c>
      <c r="N1249" s="2">
        <v>3112.0</v>
      </c>
      <c r="O1249" s="2">
        <v>3803.0</v>
      </c>
      <c r="P1249" s="2">
        <v>3037.0</v>
      </c>
      <c r="Q1249" s="2">
        <v>11.0</v>
      </c>
      <c r="R1249" s="2">
        <v>25244.0</v>
      </c>
      <c r="S1249" s="2">
        <v>570.0</v>
      </c>
      <c r="T1249" s="2">
        <v>24673.0</v>
      </c>
      <c r="U1249" s="2">
        <v>570.0</v>
      </c>
      <c r="V1249" s="2">
        <v>0.0</v>
      </c>
      <c r="W1249" s="2">
        <v>24673.0</v>
      </c>
    </row>
    <row r="1250" ht="15.0" customHeight="1">
      <c r="A1250" s="2">
        <v>2025.0</v>
      </c>
      <c r="B1250" s="2" t="s">
        <v>57</v>
      </c>
      <c r="C1250" s="2">
        <v>9.0</v>
      </c>
      <c r="D1250" s="2" t="s">
        <v>78</v>
      </c>
      <c r="E1250" s="2" t="s">
        <v>63</v>
      </c>
      <c r="F1250" s="2" t="s">
        <v>26</v>
      </c>
      <c r="G1250" s="2" t="s">
        <v>43</v>
      </c>
      <c r="H1250" s="2" t="s">
        <v>42</v>
      </c>
      <c r="I1250" s="2" t="s">
        <v>29</v>
      </c>
      <c r="J1250" s="2">
        <v>2606.0</v>
      </c>
      <c r="K1250" s="2">
        <v>1156.0</v>
      </c>
      <c r="L1250" s="2">
        <v>591.0</v>
      </c>
      <c r="M1250" s="2">
        <v>542.0</v>
      </c>
      <c r="N1250" s="2">
        <v>223.0</v>
      </c>
      <c r="O1250" s="2">
        <v>419.0</v>
      </c>
      <c r="P1250" s="2">
        <v>315.0</v>
      </c>
      <c r="Q1250" s="2">
        <v>0.0</v>
      </c>
      <c r="R1250" s="2">
        <v>11399.0</v>
      </c>
      <c r="S1250" s="2">
        <v>13032.0</v>
      </c>
      <c r="T1250" s="2">
        <v>-1633.0</v>
      </c>
      <c r="U1250" s="2">
        <v>7506.0</v>
      </c>
      <c r="V1250" s="2">
        <v>5526.0</v>
      </c>
      <c r="W1250" s="2">
        <v>3893.0</v>
      </c>
    </row>
    <row r="1251" ht="15.0" customHeight="1">
      <c r="A1251" s="2">
        <v>2025.0</v>
      </c>
      <c r="B1251" s="2" t="s">
        <v>57</v>
      </c>
      <c r="C1251" s="2">
        <v>9.0</v>
      </c>
      <c r="D1251" s="2" t="s">
        <v>78</v>
      </c>
      <c r="E1251" s="2" t="s">
        <v>63</v>
      </c>
      <c r="F1251" s="2" t="s">
        <v>26</v>
      </c>
      <c r="G1251" s="2" t="s">
        <v>43</v>
      </c>
      <c r="H1251" s="2" t="s">
        <v>42</v>
      </c>
      <c r="I1251" s="2" t="s">
        <v>30</v>
      </c>
      <c r="J1251" s="2">
        <v>36316.0</v>
      </c>
      <c r="K1251" s="2">
        <v>352.0</v>
      </c>
      <c r="L1251" s="2">
        <v>147.0</v>
      </c>
      <c r="M1251" s="2">
        <v>135.0</v>
      </c>
      <c r="N1251" s="2">
        <v>31.0</v>
      </c>
      <c r="O1251" s="2">
        <v>84.0</v>
      </c>
      <c r="P1251" s="2">
        <v>70.0</v>
      </c>
      <c r="Q1251" s="2">
        <v>0.0</v>
      </c>
      <c r="R1251" s="2">
        <v>2562.0</v>
      </c>
      <c r="S1251" s="2">
        <v>6242.0</v>
      </c>
      <c r="T1251" s="2">
        <v>-3680.0</v>
      </c>
      <c r="U1251" s="2">
        <v>6242.0</v>
      </c>
      <c r="V1251" s="2">
        <v>0.0</v>
      </c>
      <c r="W1251" s="2">
        <v>-3680.0</v>
      </c>
    </row>
    <row r="1252" ht="15.0" customHeight="1">
      <c r="A1252" s="2">
        <v>2025.0</v>
      </c>
      <c r="B1252" s="2" t="s">
        <v>57</v>
      </c>
      <c r="C1252" s="2">
        <v>9.0</v>
      </c>
      <c r="D1252" s="2" t="s">
        <v>78</v>
      </c>
      <c r="E1252" s="2" t="s">
        <v>63</v>
      </c>
      <c r="F1252" s="2" t="s">
        <v>26</v>
      </c>
      <c r="G1252" s="2" t="s">
        <v>43</v>
      </c>
      <c r="H1252" s="2" t="s">
        <v>42</v>
      </c>
      <c r="I1252" s="2" t="s">
        <v>31</v>
      </c>
      <c r="J1252" s="2">
        <v>473.0</v>
      </c>
      <c r="K1252" s="2">
        <v>275.0</v>
      </c>
      <c r="L1252" s="2">
        <v>197.0</v>
      </c>
      <c r="M1252" s="2">
        <v>131.0</v>
      </c>
      <c r="N1252" s="2">
        <v>58.0</v>
      </c>
      <c r="O1252" s="2">
        <v>110.0</v>
      </c>
      <c r="P1252" s="2">
        <v>82.0</v>
      </c>
      <c r="Q1252" s="2">
        <v>0.0</v>
      </c>
      <c r="R1252" s="2">
        <v>3161.0</v>
      </c>
      <c r="S1252" s="2">
        <v>18.0</v>
      </c>
      <c r="T1252" s="2">
        <v>3142.0</v>
      </c>
      <c r="U1252" s="2">
        <v>18.0</v>
      </c>
      <c r="V1252" s="2">
        <v>0.0</v>
      </c>
      <c r="W1252" s="2">
        <v>3142.0</v>
      </c>
    </row>
    <row r="1253" ht="15.0" customHeight="1">
      <c r="A1253" s="2">
        <v>2025.0</v>
      </c>
      <c r="B1253" s="2" t="s">
        <v>57</v>
      </c>
      <c r="C1253" s="2">
        <v>9.0</v>
      </c>
      <c r="D1253" s="2" t="s">
        <v>78</v>
      </c>
      <c r="E1253" s="2" t="s">
        <v>63</v>
      </c>
      <c r="F1253" s="2" t="s">
        <v>26</v>
      </c>
      <c r="G1253" s="2" t="s">
        <v>44</v>
      </c>
      <c r="H1253" s="2" t="s">
        <v>45</v>
      </c>
      <c r="I1253" s="2" t="s">
        <v>29</v>
      </c>
      <c r="J1253" s="2">
        <v>5666.0</v>
      </c>
      <c r="K1253" s="2">
        <v>2865.0</v>
      </c>
      <c r="L1253" s="2">
        <v>877.0</v>
      </c>
      <c r="M1253" s="2">
        <v>828.0</v>
      </c>
      <c r="N1253" s="2">
        <v>734.0</v>
      </c>
      <c r="O1253" s="2">
        <v>1352.0</v>
      </c>
      <c r="P1253" s="2">
        <v>1037.0</v>
      </c>
      <c r="Q1253" s="2">
        <v>536.0</v>
      </c>
      <c r="R1253" s="2">
        <v>38604.0</v>
      </c>
      <c r="S1253" s="2">
        <v>29030.0</v>
      </c>
      <c r="T1253" s="2">
        <v>9574.0</v>
      </c>
      <c r="U1253" s="2">
        <v>28155.0</v>
      </c>
      <c r="V1253" s="2">
        <v>875.0</v>
      </c>
      <c r="W1253" s="2">
        <v>10449.0</v>
      </c>
    </row>
    <row r="1254" ht="15.0" customHeight="1">
      <c r="A1254" s="2">
        <v>2025.0</v>
      </c>
      <c r="B1254" s="2" t="s">
        <v>57</v>
      </c>
      <c r="C1254" s="2">
        <v>9.0</v>
      </c>
      <c r="D1254" s="2" t="s">
        <v>78</v>
      </c>
      <c r="E1254" s="2" t="s">
        <v>63</v>
      </c>
      <c r="F1254" s="2" t="s">
        <v>26</v>
      </c>
      <c r="G1254" s="2" t="s">
        <v>44</v>
      </c>
      <c r="H1254" s="2" t="s">
        <v>45</v>
      </c>
      <c r="I1254" s="2" t="s">
        <v>30</v>
      </c>
      <c r="J1254" s="2">
        <v>10367.0</v>
      </c>
      <c r="K1254" s="2">
        <v>1217.0</v>
      </c>
      <c r="L1254" s="2">
        <v>344.0</v>
      </c>
      <c r="M1254" s="2">
        <v>327.0</v>
      </c>
      <c r="N1254" s="2">
        <v>274.0</v>
      </c>
      <c r="O1254" s="2">
        <v>479.0</v>
      </c>
      <c r="P1254" s="2">
        <v>345.0</v>
      </c>
      <c r="Q1254" s="2">
        <v>152.0</v>
      </c>
      <c r="R1254" s="2">
        <v>11757.0</v>
      </c>
      <c r="S1254" s="2">
        <v>7480.0</v>
      </c>
      <c r="T1254" s="2">
        <v>4278.0</v>
      </c>
      <c r="U1254" s="2">
        <v>7480.0</v>
      </c>
      <c r="V1254" s="2">
        <v>0.0</v>
      </c>
      <c r="W1254" s="2">
        <v>4278.0</v>
      </c>
    </row>
    <row r="1255" ht="15.0" customHeight="1">
      <c r="A1255" s="2">
        <v>2025.0</v>
      </c>
      <c r="B1255" s="2" t="s">
        <v>57</v>
      </c>
      <c r="C1255" s="2">
        <v>9.0</v>
      </c>
      <c r="D1255" s="2" t="s">
        <v>78</v>
      </c>
      <c r="E1255" s="2" t="s">
        <v>63</v>
      </c>
      <c r="F1255" s="2" t="s">
        <v>26</v>
      </c>
      <c r="G1255" s="2" t="s">
        <v>44</v>
      </c>
      <c r="H1255" s="2" t="s">
        <v>45</v>
      </c>
      <c r="I1255" s="2" t="s">
        <v>31</v>
      </c>
      <c r="J1255" s="2">
        <v>4983.0</v>
      </c>
      <c r="K1255" s="2">
        <v>631.0</v>
      </c>
      <c r="L1255" s="2">
        <v>240.0</v>
      </c>
      <c r="M1255" s="2">
        <v>205.0</v>
      </c>
      <c r="N1255" s="2">
        <v>174.0</v>
      </c>
      <c r="O1255" s="2">
        <v>344.0</v>
      </c>
      <c r="P1255" s="2">
        <v>263.0</v>
      </c>
      <c r="Q1255" s="2">
        <v>94.0</v>
      </c>
      <c r="R1255" s="2">
        <v>9284.0</v>
      </c>
      <c r="S1255" s="2">
        <v>118.0</v>
      </c>
      <c r="T1255" s="2">
        <v>9167.0</v>
      </c>
      <c r="U1255" s="2">
        <v>118.0</v>
      </c>
      <c r="V1255" s="2">
        <v>0.0</v>
      </c>
      <c r="W1255" s="2">
        <v>9167.0</v>
      </c>
    </row>
    <row r="1256" ht="15.0" customHeight="1">
      <c r="A1256" s="2">
        <v>2025.0</v>
      </c>
      <c r="B1256" s="2" t="s">
        <v>57</v>
      </c>
      <c r="C1256" s="2">
        <v>9.0</v>
      </c>
      <c r="D1256" s="2" t="s">
        <v>78</v>
      </c>
      <c r="E1256" s="2" t="s">
        <v>63</v>
      </c>
      <c r="F1256" s="2" t="s">
        <v>26</v>
      </c>
      <c r="G1256" s="2" t="s">
        <v>46</v>
      </c>
      <c r="H1256" s="2" t="s">
        <v>47</v>
      </c>
      <c r="I1256" s="2" t="s">
        <v>29</v>
      </c>
      <c r="J1256" s="2">
        <v>5400.0</v>
      </c>
      <c r="K1256" s="2">
        <v>2566.0</v>
      </c>
      <c r="L1256" s="2">
        <v>1045.0</v>
      </c>
      <c r="M1256" s="2">
        <v>989.0</v>
      </c>
      <c r="N1256" s="2">
        <v>932.0</v>
      </c>
      <c r="O1256" s="2">
        <v>1745.0</v>
      </c>
      <c r="P1256" s="2">
        <v>1075.0</v>
      </c>
      <c r="Q1256" s="2">
        <v>105.0</v>
      </c>
      <c r="R1256" s="2">
        <v>45837.0</v>
      </c>
      <c r="S1256" s="2">
        <v>28825.0</v>
      </c>
      <c r="T1256" s="2">
        <v>17013.0</v>
      </c>
      <c r="U1256" s="2">
        <v>28717.0</v>
      </c>
      <c r="V1256" s="2">
        <v>107.0</v>
      </c>
      <c r="W1256" s="2">
        <v>17120.0</v>
      </c>
    </row>
    <row r="1257" ht="15.0" customHeight="1">
      <c r="A1257" s="2">
        <v>2025.0</v>
      </c>
      <c r="B1257" s="2" t="s">
        <v>57</v>
      </c>
      <c r="C1257" s="2">
        <v>9.0</v>
      </c>
      <c r="D1257" s="2" t="s">
        <v>78</v>
      </c>
      <c r="E1257" s="2" t="s">
        <v>63</v>
      </c>
      <c r="F1257" s="2" t="s">
        <v>26</v>
      </c>
      <c r="G1257" s="2" t="s">
        <v>46</v>
      </c>
      <c r="H1257" s="2" t="s">
        <v>47</v>
      </c>
      <c r="I1257" s="2" t="s">
        <v>30</v>
      </c>
      <c r="J1257" s="2">
        <v>1879.0</v>
      </c>
      <c r="K1257" s="2">
        <v>329.0</v>
      </c>
      <c r="L1257" s="2">
        <v>128.0</v>
      </c>
      <c r="M1257" s="2">
        <v>117.0</v>
      </c>
      <c r="N1257" s="2">
        <v>113.0</v>
      </c>
      <c r="O1257" s="2">
        <v>237.0</v>
      </c>
      <c r="P1257" s="2">
        <v>162.0</v>
      </c>
      <c r="Q1257" s="2">
        <v>21.0</v>
      </c>
      <c r="R1257" s="2">
        <v>7800.0</v>
      </c>
      <c r="S1257" s="2">
        <v>2743.0</v>
      </c>
      <c r="T1257" s="2">
        <v>5057.0</v>
      </c>
      <c r="U1257" s="2">
        <v>2743.0</v>
      </c>
      <c r="V1257" s="2">
        <v>0.0</v>
      </c>
      <c r="W1257" s="2">
        <v>5057.0</v>
      </c>
    </row>
    <row r="1258" ht="15.0" customHeight="1">
      <c r="A1258" s="2">
        <v>2025.0</v>
      </c>
      <c r="B1258" s="2" t="s">
        <v>57</v>
      </c>
      <c r="C1258" s="2">
        <v>9.0</v>
      </c>
      <c r="D1258" s="2" t="s">
        <v>78</v>
      </c>
      <c r="E1258" s="2" t="s">
        <v>63</v>
      </c>
      <c r="F1258" s="2" t="s">
        <v>26</v>
      </c>
      <c r="G1258" s="2" t="s">
        <v>46</v>
      </c>
      <c r="H1258" s="2" t="s">
        <v>47</v>
      </c>
      <c r="I1258" s="2" t="s">
        <v>31</v>
      </c>
      <c r="J1258" s="2">
        <v>1558.0</v>
      </c>
      <c r="K1258" s="2">
        <v>808.0</v>
      </c>
      <c r="L1258" s="2">
        <v>197.0</v>
      </c>
      <c r="M1258" s="2">
        <v>128.0</v>
      </c>
      <c r="N1258" s="2">
        <v>118.0</v>
      </c>
      <c r="O1258" s="2">
        <v>210.0</v>
      </c>
      <c r="P1258" s="2">
        <v>120.0</v>
      </c>
      <c r="Q1258" s="2">
        <v>12.0</v>
      </c>
      <c r="R1258" s="2">
        <v>5082.0</v>
      </c>
      <c r="S1258" s="2">
        <v>271.0</v>
      </c>
      <c r="T1258" s="2">
        <v>4812.0</v>
      </c>
      <c r="U1258" s="2">
        <v>271.0</v>
      </c>
      <c r="V1258" s="2">
        <v>0.0</v>
      </c>
      <c r="W1258" s="2">
        <v>4812.0</v>
      </c>
    </row>
    <row r="1259" ht="15.0" customHeight="1">
      <c r="A1259" s="2">
        <v>2025.0</v>
      </c>
      <c r="B1259" s="2" t="s">
        <v>57</v>
      </c>
      <c r="C1259" s="2">
        <v>9.0</v>
      </c>
      <c r="D1259" s="2" t="s">
        <v>78</v>
      </c>
      <c r="E1259" s="2" t="s">
        <v>63</v>
      </c>
      <c r="F1259" s="2" t="s">
        <v>48</v>
      </c>
      <c r="G1259" s="2" t="s">
        <v>27</v>
      </c>
      <c r="H1259" s="2" t="s">
        <v>28</v>
      </c>
      <c r="I1259" s="2" t="s">
        <v>29</v>
      </c>
      <c r="J1259" s="2">
        <v>2814.0</v>
      </c>
      <c r="K1259" s="2">
        <v>1528.0</v>
      </c>
      <c r="L1259" s="2">
        <v>617.0</v>
      </c>
      <c r="M1259" s="2">
        <v>586.0</v>
      </c>
      <c r="N1259" s="2">
        <v>432.0</v>
      </c>
      <c r="O1259" s="2">
        <v>574.0</v>
      </c>
      <c r="P1259" s="2">
        <v>430.0</v>
      </c>
      <c r="Q1259" s="2">
        <v>0.0</v>
      </c>
      <c r="R1259" s="2">
        <v>14022.0</v>
      </c>
      <c r="S1259" s="2">
        <v>8752.0</v>
      </c>
      <c r="T1259" s="2">
        <v>5269.0</v>
      </c>
      <c r="U1259" s="2">
        <v>8061.0</v>
      </c>
      <c r="V1259" s="2">
        <v>692.0</v>
      </c>
      <c r="W1259" s="2">
        <v>5961.0</v>
      </c>
    </row>
    <row r="1260" ht="15.0" customHeight="1">
      <c r="A1260" s="2">
        <v>2025.0</v>
      </c>
      <c r="B1260" s="2" t="s">
        <v>57</v>
      </c>
      <c r="C1260" s="2">
        <v>9.0</v>
      </c>
      <c r="D1260" s="2" t="s">
        <v>78</v>
      </c>
      <c r="E1260" s="2" t="s">
        <v>63</v>
      </c>
      <c r="F1260" s="2" t="s">
        <v>48</v>
      </c>
      <c r="G1260" s="2" t="s">
        <v>27</v>
      </c>
      <c r="H1260" s="2" t="s">
        <v>28</v>
      </c>
      <c r="I1260" s="2" t="s">
        <v>30</v>
      </c>
      <c r="J1260" s="2">
        <v>5401.0</v>
      </c>
      <c r="K1260" s="2">
        <v>1477.0</v>
      </c>
      <c r="L1260" s="2">
        <v>765.0</v>
      </c>
      <c r="M1260" s="2">
        <v>652.0</v>
      </c>
      <c r="N1260" s="2">
        <v>466.0</v>
      </c>
      <c r="O1260" s="2">
        <v>631.0</v>
      </c>
      <c r="P1260" s="2">
        <v>416.0</v>
      </c>
      <c r="Q1260" s="2">
        <v>0.0</v>
      </c>
      <c r="R1260" s="2">
        <v>13545.0</v>
      </c>
      <c r="S1260" s="2">
        <v>12846.0</v>
      </c>
      <c r="T1260" s="2">
        <v>699.0</v>
      </c>
      <c r="U1260" s="2">
        <v>12846.0</v>
      </c>
      <c r="V1260" s="2">
        <v>0.0</v>
      </c>
      <c r="W1260" s="2">
        <v>699.0</v>
      </c>
    </row>
    <row r="1261" ht="15.0" customHeight="1">
      <c r="A1261" s="2">
        <v>2025.0</v>
      </c>
      <c r="B1261" s="2" t="s">
        <v>57</v>
      </c>
      <c r="C1261" s="2">
        <v>9.0</v>
      </c>
      <c r="D1261" s="2" t="s">
        <v>78</v>
      </c>
      <c r="E1261" s="2" t="s">
        <v>63</v>
      </c>
      <c r="F1261" s="2" t="s">
        <v>48</v>
      </c>
      <c r="G1261" s="2" t="s">
        <v>27</v>
      </c>
      <c r="H1261" s="2" t="s">
        <v>28</v>
      </c>
      <c r="I1261" s="2" t="s">
        <v>31</v>
      </c>
      <c r="J1261" s="2">
        <v>329.0</v>
      </c>
      <c r="K1261" s="2">
        <v>194.0</v>
      </c>
      <c r="L1261" s="2">
        <v>204.0</v>
      </c>
      <c r="M1261" s="2">
        <v>187.0</v>
      </c>
      <c r="N1261" s="2">
        <v>124.0</v>
      </c>
      <c r="O1261" s="2">
        <v>166.0</v>
      </c>
      <c r="P1261" s="2">
        <v>105.0</v>
      </c>
      <c r="Q1261" s="2">
        <v>0.0</v>
      </c>
      <c r="R1261" s="2">
        <v>3445.0</v>
      </c>
      <c r="S1261" s="2">
        <v>591.0</v>
      </c>
      <c r="T1261" s="2">
        <v>2854.0</v>
      </c>
      <c r="U1261" s="2">
        <v>591.0</v>
      </c>
      <c r="V1261" s="2">
        <v>0.0</v>
      </c>
      <c r="W1261" s="2">
        <v>2854.0</v>
      </c>
    </row>
    <row r="1262" ht="15.0" customHeight="1">
      <c r="A1262" s="2">
        <v>2025.0</v>
      </c>
      <c r="B1262" s="2" t="s">
        <v>57</v>
      </c>
      <c r="C1262" s="2">
        <v>9.0</v>
      </c>
      <c r="D1262" s="2" t="s">
        <v>78</v>
      </c>
      <c r="E1262" s="2" t="s">
        <v>63</v>
      </c>
      <c r="F1262" s="2" t="s">
        <v>48</v>
      </c>
      <c r="G1262" s="2" t="s">
        <v>32</v>
      </c>
      <c r="H1262" s="2" t="s">
        <v>28</v>
      </c>
      <c r="I1262" s="2" t="s">
        <v>29</v>
      </c>
      <c r="J1262" s="2">
        <v>273.0</v>
      </c>
      <c r="K1262" s="2">
        <v>132.0</v>
      </c>
      <c r="L1262" s="2">
        <v>64.0</v>
      </c>
      <c r="M1262" s="2">
        <v>61.0</v>
      </c>
      <c r="N1262" s="2">
        <v>20.0</v>
      </c>
      <c r="O1262" s="2">
        <v>28.0</v>
      </c>
      <c r="P1262" s="2">
        <v>24.0</v>
      </c>
      <c r="Q1262" s="2">
        <v>0.0</v>
      </c>
      <c r="R1262" s="2">
        <v>356.0</v>
      </c>
      <c r="S1262" s="2">
        <v>188.0</v>
      </c>
      <c r="T1262" s="2">
        <v>168.0</v>
      </c>
      <c r="U1262" s="2">
        <v>188.0</v>
      </c>
      <c r="V1262" s="2">
        <v>0.0</v>
      </c>
      <c r="W1262" s="2">
        <v>168.0</v>
      </c>
    </row>
    <row r="1263" ht="15.0" customHeight="1">
      <c r="A1263" s="2">
        <v>2025.0</v>
      </c>
      <c r="B1263" s="2" t="s">
        <v>57</v>
      </c>
      <c r="C1263" s="2">
        <v>9.0</v>
      </c>
      <c r="D1263" s="2" t="s">
        <v>78</v>
      </c>
      <c r="E1263" s="2" t="s">
        <v>63</v>
      </c>
      <c r="F1263" s="2" t="s">
        <v>48</v>
      </c>
      <c r="G1263" s="2" t="s">
        <v>32</v>
      </c>
      <c r="H1263" s="2" t="s">
        <v>28</v>
      </c>
      <c r="I1263" s="2" t="s">
        <v>30</v>
      </c>
      <c r="J1263" s="2">
        <v>1685.0</v>
      </c>
      <c r="K1263" s="2">
        <v>540.0</v>
      </c>
      <c r="L1263" s="2">
        <v>348.0</v>
      </c>
      <c r="M1263" s="2">
        <v>326.0</v>
      </c>
      <c r="N1263" s="2">
        <v>100.0</v>
      </c>
      <c r="O1263" s="2">
        <v>125.0</v>
      </c>
      <c r="P1263" s="2">
        <v>103.0</v>
      </c>
      <c r="Q1263" s="2">
        <v>0.0</v>
      </c>
      <c r="R1263" s="2">
        <v>1465.0</v>
      </c>
      <c r="S1263" s="2">
        <v>2434.0</v>
      </c>
      <c r="T1263" s="2">
        <v>-969.0</v>
      </c>
      <c r="U1263" s="2">
        <v>2434.0</v>
      </c>
      <c r="V1263" s="2">
        <v>0.0</v>
      </c>
      <c r="W1263" s="2">
        <v>-969.0</v>
      </c>
    </row>
    <row r="1264" ht="15.0" customHeight="1">
      <c r="A1264" s="2">
        <v>2025.0</v>
      </c>
      <c r="B1264" s="2" t="s">
        <v>57</v>
      </c>
      <c r="C1264" s="2">
        <v>9.0</v>
      </c>
      <c r="D1264" s="2" t="s">
        <v>78</v>
      </c>
      <c r="E1264" s="2" t="s">
        <v>63</v>
      </c>
      <c r="F1264" s="2" t="s">
        <v>48</v>
      </c>
      <c r="G1264" s="2" t="s">
        <v>32</v>
      </c>
      <c r="H1264" s="2" t="s">
        <v>28</v>
      </c>
      <c r="I1264" s="2" t="s">
        <v>31</v>
      </c>
      <c r="J1264" s="2">
        <v>725.0</v>
      </c>
      <c r="K1264" s="2">
        <v>373.0</v>
      </c>
      <c r="L1264" s="2">
        <v>216.0</v>
      </c>
      <c r="M1264" s="2">
        <v>204.0</v>
      </c>
      <c r="N1264" s="2">
        <v>44.0</v>
      </c>
      <c r="O1264" s="2">
        <v>51.0</v>
      </c>
      <c r="P1264" s="2">
        <v>40.0</v>
      </c>
      <c r="Q1264" s="2">
        <v>0.0</v>
      </c>
      <c r="R1264" s="2">
        <v>578.0</v>
      </c>
      <c r="S1264" s="2">
        <v>0.0</v>
      </c>
      <c r="T1264" s="2">
        <v>578.0</v>
      </c>
      <c r="U1264" s="2">
        <v>0.0</v>
      </c>
      <c r="V1264" s="2">
        <v>0.0</v>
      </c>
      <c r="W1264" s="2">
        <v>578.0</v>
      </c>
    </row>
    <row r="1265" ht="15.0" customHeight="1">
      <c r="A1265" s="2">
        <v>2025.0</v>
      </c>
      <c r="B1265" s="2" t="s">
        <v>57</v>
      </c>
      <c r="C1265" s="2">
        <v>9.0</v>
      </c>
      <c r="D1265" s="2" t="s">
        <v>78</v>
      </c>
      <c r="E1265" s="2" t="s">
        <v>63</v>
      </c>
      <c r="F1265" s="2" t="s">
        <v>48</v>
      </c>
      <c r="G1265" s="2" t="s">
        <v>33</v>
      </c>
      <c r="H1265" s="2" t="s">
        <v>28</v>
      </c>
      <c r="I1265" s="2" t="s">
        <v>29</v>
      </c>
      <c r="J1265" s="2">
        <v>1396.0</v>
      </c>
      <c r="K1265" s="2">
        <v>750.0</v>
      </c>
      <c r="L1265" s="2">
        <v>301.0</v>
      </c>
      <c r="M1265" s="2">
        <v>283.0</v>
      </c>
      <c r="N1265" s="2">
        <v>131.0</v>
      </c>
      <c r="O1265" s="2">
        <v>169.0</v>
      </c>
      <c r="P1265" s="2">
        <v>163.0</v>
      </c>
      <c r="Q1265" s="2">
        <v>86.0</v>
      </c>
      <c r="R1265" s="2">
        <v>4176.0</v>
      </c>
      <c r="S1265" s="2">
        <v>3690.0</v>
      </c>
      <c r="T1265" s="2">
        <v>486.0</v>
      </c>
      <c r="U1265" s="2">
        <v>3662.0</v>
      </c>
      <c r="V1265" s="2">
        <v>28.0</v>
      </c>
      <c r="W1265" s="2">
        <v>514.0</v>
      </c>
    </row>
    <row r="1266" ht="15.0" customHeight="1">
      <c r="A1266" s="2">
        <v>2025.0</v>
      </c>
      <c r="B1266" s="2" t="s">
        <v>57</v>
      </c>
      <c r="C1266" s="2">
        <v>9.0</v>
      </c>
      <c r="D1266" s="2" t="s">
        <v>78</v>
      </c>
      <c r="E1266" s="2" t="s">
        <v>63</v>
      </c>
      <c r="F1266" s="2" t="s">
        <v>48</v>
      </c>
      <c r="G1266" s="2" t="s">
        <v>33</v>
      </c>
      <c r="H1266" s="2" t="s">
        <v>28</v>
      </c>
      <c r="I1266" s="2" t="s">
        <v>30</v>
      </c>
      <c r="J1266" s="2">
        <v>7092.0</v>
      </c>
      <c r="K1266" s="2">
        <v>2963.0</v>
      </c>
      <c r="L1266" s="2">
        <v>1630.0</v>
      </c>
      <c r="M1266" s="2">
        <v>1508.0</v>
      </c>
      <c r="N1266" s="2">
        <v>856.0</v>
      </c>
      <c r="O1266" s="2">
        <v>1032.0</v>
      </c>
      <c r="P1266" s="2">
        <v>998.0</v>
      </c>
      <c r="Q1266" s="2">
        <v>765.0</v>
      </c>
      <c r="R1266" s="2">
        <v>24663.0</v>
      </c>
      <c r="S1266" s="2">
        <v>14682.0</v>
      </c>
      <c r="T1266" s="2">
        <v>9982.0</v>
      </c>
      <c r="U1266" s="2">
        <v>14682.0</v>
      </c>
      <c r="V1266" s="2">
        <v>0.0</v>
      </c>
      <c r="W1266" s="2">
        <v>9982.0</v>
      </c>
    </row>
    <row r="1267" ht="15.0" customHeight="1">
      <c r="A1267" s="2">
        <v>2025.0</v>
      </c>
      <c r="B1267" s="2" t="s">
        <v>57</v>
      </c>
      <c r="C1267" s="2">
        <v>9.0</v>
      </c>
      <c r="D1267" s="2" t="s">
        <v>78</v>
      </c>
      <c r="E1267" s="2" t="s">
        <v>63</v>
      </c>
      <c r="F1267" s="2" t="s">
        <v>48</v>
      </c>
      <c r="G1267" s="2" t="s">
        <v>33</v>
      </c>
      <c r="H1267" s="2" t="s">
        <v>28</v>
      </c>
      <c r="I1267" s="2" t="s">
        <v>31</v>
      </c>
      <c r="J1267" s="2">
        <v>326.0</v>
      </c>
      <c r="K1267" s="2">
        <v>99.0</v>
      </c>
      <c r="L1267" s="2">
        <v>67.0</v>
      </c>
      <c r="M1267" s="2">
        <v>56.0</v>
      </c>
      <c r="N1267" s="2">
        <v>34.0</v>
      </c>
      <c r="O1267" s="2">
        <v>46.0</v>
      </c>
      <c r="P1267" s="2">
        <v>46.0</v>
      </c>
      <c r="Q1267" s="2">
        <v>32.0</v>
      </c>
      <c r="R1267" s="2">
        <v>1155.0</v>
      </c>
      <c r="S1267" s="2">
        <v>0.0</v>
      </c>
      <c r="T1267" s="2">
        <v>1155.0</v>
      </c>
      <c r="U1267" s="2">
        <v>0.0</v>
      </c>
      <c r="V1267" s="2">
        <v>0.0</v>
      </c>
      <c r="W1267" s="2">
        <v>1155.0</v>
      </c>
    </row>
    <row r="1268" ht="15.0" customHeight="1">
      <c r="A1268" s="2">
        <v>2025.0</v>
      </c>
      <c r="B1268" s="2" t="s">
        <v>57</v>
      </c>
      <c r="C1268" s="2">
        <v>9.0</v>
      </c>
      <c r="D1268" s="2" t="s">
        <v>78</v>
      </c>
      <c r="E1268" s="2" t="s">
        <v>63</v>
      </c>
      <c r="F1268" s="2" t="s">
        <v>48</v>
      </c>
      <c r="G1268" s="2" t="s">
        <v>34</v>
      </c>
      <c r="H1268" s="2" t="s">
        <v>35</v>
      </c>
      <c r="I1268" s="2" t="s">
        <v>29</v>
      </c>
      <c r="J1268" s="2">
        <v>25853.0</v>
      </c>
      <c r="K1268" s="2">
        <v>16342.0</v>
      </c>
      <c r="L1268" s="2">
        <v>7245.0</v>
      </c>
      <c r="M1268" s="2">
        <v>6929.0</v>
      </c>
      <c r="N1268" s="2">
        <v>3061.0</v>
      </c>
      <c r="O1268" s="2">
        <v>4000.0</v>
      </c>
      <c r="P1268" s="2">
        <v>3271.0</v>
      </c>
      <c r="Q1268" s="2">
        <v>0.0</v>
      </c>
      <c r="R1268" s="2">
        <v>47033.0</v>
      </c>
      <c r="S1268" s="2">
        <v>33406.0</v>
      </c>
      <c r="T1268" s="2">
        <v>13627.0</v>
      </c>
      <c r="U1268" s="2">
        <v>31569.0</v>
      </c>
      <c r="V1268" s="2">
        <v>1837.0</v>
      </c>
      <c r="W1268" s="2">
        <v>15464.0</v>
      </c>
    </row>
    <row r="1269" ht="15.0" customHeight="1">
      <c r="A1269" s="2">
        <v>2025.0</v>
      </c>
      <c r="B1269" s="2" t="s">
        <v>57</v>
      </c>
      <c r="C1269" s="2">
        <v>9.0</v>
      </c>
      <c r="D1269" s="2" t="s">
        <v>78</v>
      </c>
      <c r="E1269" s="2" t="s">
        <v>63</v>
      </c>
      <c r="F1269" s="2" t="s">
        <v>48</v>
      </c>
      <c r="G1269" s="2" t="s">
        <v>34</v>
      </c>
      <c r="H1269" s="2" t="s">
        <v>35</v>
      </c>
      <c r="I1269" s="2" t="s">
        <v>30</v>
      </c>
      <c r="J1269" s="2">
        <v>18625.0</v>
      </c>
      <c r="K1269" s="2">
        <v>9088.0</v>
      </c>
      <c r="L1269" s="2">
        <v>3796.0</v>
      </c>
      <c r="M1269" s="2">
        <v>3580.0</v>
      </c>
      <c r="N1269" s="2">
        <v>1444.0</v>
      </c>
      <c r="O1269" s="2">
        <v>1975.0</v>
      </c>
      <c r="P1269" s="2">
        <v>1582.0</v>
      </c>
      <c r="Q1269" s="2">
        <v>0.0</v>
      </c>
      <c r="R1269" s="2">
        <v>23909.0</v>
      </c>
      <c r="S1269" s="2">
        <v>18784.0</v>
      </c>
      <c r="T1269" s="2">
        <v>5125.0</v>
      </c>
      <c r="U1269" s="2">
        <v>18784.0</v>
      </c>
      <c r="V1269" s="2">
        <v>0.0</v>
      </c>
      <c r="W1269" s="2">
        <v>5125.0</v>
      </c>
    </row>
    <row r="1270" ht="15.0" customHeight="1">
      <c r="A1270" s="2">
        <v>2025.0</v>
      </c>
      <c r="B1270" s="2" t="s">
        <v>57</v>
      </c>
      <c r="C1270" s="2">
        <v>9.0</v>
      </c>
      <c r="D1270" s="2" t="s">
        <v>78</v>
      </c>
      <c r="E1270" s="2" t="s">
        <v>63</v>
      </c>
      <c r="F1270" s="2" t="s">
        <v>48</v>
      </c>
      <c r="G1270" s="2" t="s">
        <v>34</v>
      </c>
      <c r="H1270" s="2" t="s">
        <v>35</v>
      </c>
      <c r="I1270" s="2" t="s">
        <v>31</v>
      </c>
      <c r="J1270" s="2">
        <v>1051.0</v>
      </c>
      <c r="K1270" s="2">
        <v>519.0</v>
      </c>
      <c r="L1270" s="2">
        <v>374.0</v>
      </c>
      <c r="M1270" s="2">
        <v>333.0</v>
      </c>
      <c r="N1270" s="2">
        <v>148.0</v>
      </c>
      <c r="O1270" s="2">
        <v>194.0</v>
      </c>
      <c r="P1270" s="2">
        <v>170.0</v>
      </c>
      <c r="Q1270" s="2">
        <v>0.0</v>
      </c>
      <c r="R1270" s="2">
        <v>2236.0</v>
      </c>
      <c r="S1270" s="2">
        <v>0.0</v>
      </c>
      <c r="T1270" s="2">
        <v>2236.0</v>
      </c>
      <c r="U1270" s="2">
        <v>0.0</v>
      </c>
      <c r="V1270" s="2">
        <v>0.0</v>
      </c>
      <c r="W1270" s="2">
        <v>2236.0</v>
      </c>
    </row>
    <row r="1271" ht="15.0" customHeight="1">
      <c r="A1271" s="2">
        <v>2025.0</v>
      </c>
      <c r="B1271" s="2" t="s">
        <v>57</v>
      </c>
      <c r="C1271" s="2">
        <v>9.0</v>
      </c>
      <c r="D1271" s="2" t="s">
        <v>78</v>
      </c>
      <c r="E1271" s="2" t="s">
        <v>63</v>
      </c>
      <c r="F1271" s="2" t="s">
        <v>48</v>
      </c>
      <c r="G1271" s="2" t="s">
        <v>36</v>
      </c>
      <c r="H1271" s="2" t="s">
        <v>35</v>
      </c>
      <c r="I1271" s="2" t="s">
        <v>29</v>
      </c>
      <c r="J1271" s="2">
        <v>11249.0</v>
      </c>
      <c r="K1271" s="2">
        <v>6619.0</v>
      </c>
      <c r="L1271" s="2">
        <v>3306.0</v>
      </c>
      <c r="M1271" s="2">
        <v>3176.0</v>
      </c>
      <c r="N1271" s="2">
        <v>2226.0</v>
      </c>
      <c r="O1271" s="2">
        <v>3528.0</v>
      </c>
      <c r="P1271" s="2">
        <v>2865.0</v>
      </c>
      <c r="Q1271" s="2">
        <v>0.0</v>
      </c>
      <c r="R1271" s="2">
        <v>40919.0</v>
      </c>
      <c r="S1271" s="2">
        <v>21594.0</v>
      </c>
      <c r="T1271" s="2">
        <v>19324.0</v>
      </c>
      <c r="U1271" s="2">
        <v>19820.0</v>
      </c>
      <c r="V1271" s="2">
        <v>1775.0</v>
      </c>
      <c r="W1271" s="2">
        <v>21099.0</v>
      </c>
    </row>
    <row r="1272" ht="15.0" customHeight="1">
      <c r="A1272" s="2">
        <v>2025.0</v>
      </c>
      <c r="B1272" s="2" t="s">
        <v>57</v>
      </c>
      <c r="C1272" s="2">
        <v>9.0</v>
      </c>
      <c r="D1272" s="2" t="s">
        <v>78</v>
      </c>
      <c r="E1272" s="2" t="s">
        <v>63</v>
      </c>
      <c r="F1272" s="2" t="s">
        <v>48</v>
      </c>
      <c r="G1272" s="2" t="s">
        <v>36</v>
      </c>
      <c r="H1272" s="2" t="s">
        <v>35</v>
      </c>
      <c r="I1272" s="2" t="s">
        <v>30</v>
      </c>
      <c r="J1272" s="2">
        <v>8180.0</v>
      </c>
      <c r="K1272" s="2">
        <v>2387.0</v>
      </c>
      <c r="L1272" s="2">
        <v>1544.0</v>
      </c>
      <c r="M1272" s="2">
        <v>1469.0</v>
      </c>
      <c r="N1272" s="2">
        <v>972.0</v>
      </c>
      <c r="O1272" s="2">
        <v>1570.0</v>
      </c>
      <c r="P1272" s="2">
        <v>1250.0</v>
      </c>
      <c r="Q1272" s="2">
        <v>0.0</v>
      </c>
      <c r="R1272" s="2">
        <v>17376.0</v>
      </c>
      <c r="S1272" s="2">
        <v>15014.0</v>
      </c>
      <c r="T1272" s="2">
        <v>2361.0</v>
      </c>
      <c r="U1272" s="2">
        <v>15014.0</v>
      </c>
      <c r="V1272" s="2">
        <v>0.0</v>
      </c>
      <c r="W1272" s="2">
        <v>2361.0</v>
      </c>
    </row>
    <row r="1273" ht="15.0" customHeight="1">
      <c r="A1273" s="2">
        <v>2025.0</v>
      </c>
      <c r="B1273" s="2" t="s">
        <v>57</v>
      </c>
      <c r="C1273" s="2">
        <v>9.0</v>
      </c>
      <c r="D1273" s="2" t="s">
        <v>78</v>
      </c>
      <c r="E1273" s="2" t="s">
        <v>63</v>
      </c>
      <c r="F1273" s="2" t="s">
        <v>48</v>
      </c>
      <c r="G1273" s="2" t="s">
        <v>36</v>
      </c>
      <c r="H1273" s="2" t="s">
        <v>35</v>
      </c>
      <c r="I1273" s="2" t="s">
        <v>31</v>
      </c>
      <c r="J1273" s="2">
        <v>1311.0</v>
      </c>
      <c r="K1273" s="2">
        <v>645.0</v>
      </c>
      <c r="L1273" s="2">
        <v>458.0</v>
      </c>
      <c r="M1273" s="2">
        <v>424.0</v>
      </c>
      <c r="N1273" s="2">
        <v>292.0</v>
      </c>
      <c r="O1273" s="2">
        <v>477.0</v>
      </c>
      <c r="P1273" s="2">
        <v>385.0</v>
      </c>
      <c r="Q1273" s="2">
        <v>0.0</v>
      </c>
      <c r="R1273" s="2">
        <v>5548.0</v>
      </c>
      <c r="S1273" s="2">
        <v>0.0</v>
      </c>
      <c r="T1273" s="2">
        <v>5548.0</v>
      </c>
      <c r="U1273" s="2">
        <v>0.0</v>
      </c>
      <c r="V1273" s="2">
        <v>0.0</v>
      </c>
      <c r="W1273" s="2">
        <v>5548.0</v>
      </c>
    </row>
    <row r="1274" ht="15.0" customHeight="1">
      <c r="A1274" s="2">
        <v>2025.0</v>
      </c>
      <c r="B1274" s="2" t="s">
        <v>57</v>
      </c>
      <c r="C1274" s="2">
        <v>9.0</v>
      </c>
      <c r="D1274" s="2" t="s">
        <v>78</v>
      </c>
      <c r="E1274" s="2" t="s">
        <v>63</v>
      </c>
      <c r="F1274" s="2" t="s">
        <v>48</v>
      </c>
      <c r="G1274" s="2" t="s">
        <v>37</v>
      </c>
      <c r="H1274" s="2" t="s">
        <v>35</v>
      </c>
      <c r="I1274" s="2" t="s">
        <v>29</v>
      </c>
      <c r="J1274" s="2">
        <v>3879.0</v>
      </c>
      <c r="K1274" s="2">
        <v>1965.0</v>
      </c>
      <c r="L1274" s="2">
        <v>749.0</v>
      </c>
      <c r="M1274" s="2">
        <v>705.0</v>
      </c>
      <c r="N1274" s="2">
        <v>591.0</v>
      </c>
      <c r="O1274" s="2">
        <v>1508.0</v>
      </c>
      <c r="P1274" s="2">
        <v>1206.0</v>
      </c>
      <c r="Q1274" s="2">
        <v>39.0</v>
      </c>
      <c r="R1274" s="2">
        <v>35641.0</v>
      </c>
      <c r="S1274" s="2">
        <v>15729.0</v>
      </c>
      <c r="T1274" s="2">
        <v>19912.0</v>
      </c>
      <c r="U1274" s="2">
        <v>15729.0</v>
      </c>
      <c r="V1274" s="2">
        <v>0.0</v>
      </c>
      <c r="W1274" s="2">
        <v>19912.0</v>
      </c>
    </row>
    <row r="1275" ht="15.0" customHeight="1">
      <c r="A1275" s="2">
        <v>2025.0</v>
      </c>
      <c r="B1275" s="2" t="s">
        <v>57</v>
      </c>
      <c r="C1275" s="2">
        <v>9.0</v>
      </c>
      <c r="D1275" s="2" t="s">
        <v>78</v>
      </c>
      <c r="E1275" s="2" t="s">
        <v>63</v>
      </c>
      <c r="F1275" s="2" t="s">
        <v>48</v>
      </c>
      <c r="G1275" s="2" t="s">
        <v>37</v>
      </c>
      <c r="H1275" s="2" t="s">
        <v>35</v>
      </c>
      <c r="I1275" s="2" t="s">
        <v>30</v>
      </c>
      <c r="J1275" s="2">
        <v>2106.0</v>
      </c>
      <c r="K1275" s="2">
        <v>717.0</v>
      </c>
      <c r="L1275" s="2">
        <v>268.0</v>
      </c>
      <c r="M1275" s="2">
        <v>254.0</v>
      </c>
      <c r="N1275" s="2">
        <v>219.0</v>
      </c>
      <c r="O1275" s="2">
        <v>523.0</v>
      </c>
      <c r="P1275" s="2">
        <v>430.0</v>
      </c>
      <c r="Q1275" s="2">
        <v>12.0</v>
      </c>
      <c r="R1275" s="2">
        <v>12814.0</v>
      </c>
      <c r="S1275" s="2">
        <v>7510.0</v>
      </c>
      <c r="T1275" s="2">
        <v>5304.0</v>
      </c>
      <c r="U1275" s="2">
        <v>7510.0</v>
      </c>
      <c r="V1275" s="2">
        <v>0.0</v>
      </c>
      <c r="W1275" s="2">
        <v>5304.0</v>
      </c>
    </row>
    <row r="1276" ht="15.0" customHeight="1">
      <c r="A1276" s="2">
        <v>2025.0</v>
      </c>
      <c r="B1276" s="2" t="s">
        <v>57</v>
      </c>
      <c r="C1276" s="2">
        <v>9.0</v>
      </c>
      <c r="D1276" s="2" t="s">
        <v>78</v>
      </c>
      <c r="E1276" s="2" t="s">
        <v>63</v>
      </c>
      <c r="F1276" s="2" t="s">
        <v>48</v>
      </c>
      <c r="G1276" s="2" t="s">
        <v>37</v>
      </c>
      <c r="H1276" s="2" t="s">
        <v>35</v>
      </c>
      <c r="I1276" s="2" t="s">
        <v>31</v>
      </c>
      <c r="J1276" s="2">
        <v>125.0</v>
      </c>
      <c r="K1276" s="2">
        <v>73.0</v>
      </c>
      <c r="L1276" s="2">
        <v>42.0</v>
      </c>
      <c r="M1276" s="2">
        <v>35.0</v>
      </c>
      <c r="N1276" s="2">
        <v>28.0</v>
      </c>
      <c r="O1276" s="2">
        <v>64.0</v>
      </c>
      <c r="P1276" s="2">
        <v>55.0</v>
      </c>
      <c r="Q1276" s="2">
        <v>1.0</v>
      </c>
      <c r="R1276" s="2">
        <v>1538.0</v>
      </c>
      <c r="S1276" s="2">
        <v>0.0</v>
      </c>
      <c r="T1276" s="2">
        <v>1538.0</v>
      </c>
      <c r="U1276" s="2">
        <v>0.0</v>
      </c>
      <c r="V1276" s="2">
        <v>0.0</v>
      </c>
      <c r="W1276" s="2">
        <v>1538.0</v>
      </c>
    </row>
    <row r="1277" ht="15.0" customHeight="1">
      <c r="A1277" s="2">
        <v>2025.0</v>
      </c>
      <c r="B1277" s="2" t="s">
        <v>57</v>
      </c>
      <c r="C1277" s="2">
        <v>9.0</v>
      </c>
      <c r="D1277" s="2" t="s">
        <v>78</v>
      </c>
      <c r="E1277" s="2" t="s">
        <v>63</v>
      </c>
      <c r="F1277" s="2" t="s">
        <v>48</v>
      </c>
      <c r="G1277" s="2" t="s">
        <v>38</v>
      </c>
      <c r="H1277" s="2" t="s">
        <v>35</v>
      </c>
      <c r="I1277" s="2" t="s">
        <v>29</v>
      </c>
      <c r="J1277" s="2">
        <v>1080.0</v>
      </c>
      <c r="K1277" s="2">
        <v>644.0</v>
      </c>
      <c r="L1277" s="2">
        <v>332.0</v>
      </c>
      <c r="M1277" s="2">
        <v>313.0</v>
      </c>
      <c r="N1277" s="2">
        <v>177.0</v>
      </c>
      <c r="O1277" s="2">
        <v>201.0</v>
      </c>
      <c r="P1277" s="2">
        <v>139.0</v>
      </c>
      <c r="Q1277" s="2">
        <v>37.0</v>
      </c>
      <c r="R1277" s="2">
        <v>2708.0</v>
      </c>
      <c r="S1277" s="2">
        <v>1011.0</v>
      </c>
      <c r="T1277" s="2">
        <v>1697.0</v>
      </c>
      <c r="U1277" s="2">
        <v>855.0</v>
      </c>
      <c r="V1277" s="2">
        <v>156.0</v>
      </c>
      <c r="W1277" s="2">
        <v>1853.0</v>
      </c>
    </row>
    <row r="1278" ht="15.0" customHeight="1">
      <c r="A1278" s="2">
        <v>2025.0</v>
      </c>
      <c r="B1278" s="2" t="s">
        <v>57</v>
      </c>
      <c r="C1278" s="2">
        <v>9.0</v>
      </c>
      <c r="D1278" s="2" t="s">
        <v>78</v>
      </c>
      <c r="E1278" s="2" t="s">
        <v>63</v>
      </c>
      <c r="F1278" s="2" t="s">
        <v>48</v>
      </c>
      <c r="G1278" s="2" t="s">
        <v>38</v>
      </c>
      <c r="H1278" s="2" t="s">
        <v>35</v>
      </c>
      <c r="I1278" s="2" t="s">
        <v>30</v>
      </c>
      <c r="J1278" s="2">
        <v>10678.0</v>
      </c>
      <c r="K1278" s="2">
        <v>3529.0</v>
      </c>
      <c r="L1278" s="2">
        <v>2653.0</v>
      </c>
      <c r="M1278" s="2">
        <v>2543.0</v>
      </c>
      <c r="N1278" s="2">
        <v>1271.0</v>
      </c>
      <c r="O1278" s="2">
        <v>1517.0</v>
      </c>
      <c r="P1278" s="2">
        <v>1058.0</v>
      </c>
      <c r="Q1278" s="2">
        <v>301.0</v>
      </c>
      <c r="R1278" s="2">
        <v>20039.0</v>
      </c>
      <c r="S1278" s="2">
        <v>20695.0</v>
      </c>
      <c r="T1278" s="2">
        <v>-656.0</v>
      </c>
      <c r="U1278" s="2">
        <v>20695.0</v>
      </c>
      <c r="V1278" s="2">
        <v>0.0</v>
      </c>
      <c r="W1278" s="2">
        <v>-656.0</v>
      </c>
    </row>
    <row r="1279" ht="15.0" customHeight="1">
      <c r="A1279" s="2">
        <v>2025.0</v>
      </c>
      <c r="B1279" s="2" t="s">
        <v>57</v>
      </c>
      <c r="C1279" s="2">
        <v>9.0</v>
      </c>
      <c r="D1279" s="2" t="s">
        <v>78</v>
      </c>
      <c r="E1279" s="2" t="s">
        <v>63</v>
      </c>
      <c r="F1279" s="2" t="s">
        <v>48</v>
      </c>
      <c r="G1279" s="2" t="s">
        <v>38</v>
      </c>
      <c r="H1279" s="2" t="s">
        <v>35</v>
      </c>
      <c r="I1279" s="2" t="s">
        <v>31</v>
      </c>
      <c r="J1279" s="2">
        <v>1007.0</v>
      </c>
      <c r="K1279" s="2">
        <v>682.0</v>
      </c>
      <c r="L1279" s="2">
        <v>526.0</v>
      </c>
      <c r="M1279" s="2">
        <v>480.0</v>
      </c>
      <c r="N1279" s="2">
        <v>259.0</v>
      </c>
      <c r="O1279" s="2">
        <v>320.0</v>
      </c>
      <c r="P1279" s="2">
        <v>230.0</v>
      </c>
      <c r="Q1279" s="2">
        <v>62.0</v>
      </c>
      <c r="R1279" s="2">
        <v>4425.0</v>
      </c>
      <c r="S1279" s="2">
        <v>0.0</v>
      </c>
      <c r="T1279" s="2">
        <v>4425.0</v>
      </c>
      <c r="U1279" s="2">
        <v>0.0</v>
      </c>
      <c r="V1279" s="2">
        <v>0.0</v>
      </c>
      <c r="W1279" s="2">
        <v>4425.0</v>
      </c>
    </row>
    <row r="1280" ht="15.0" customHeight="1">
      <c r="A1280" s="2">
        <v>2025.0</v>
      </c>
      <c r="B1280" s="2" t="s">
        <v>57</v>
      </c>
      <c r="C1280" s="2">
        <v>9.0</v>
      </c>
      <c r="D1280" s="2" t="s">
        <v>78</v>
      </c>
      <c r="E1280" s="2" t="s">
        <v>63</v>
      </c>
      <c r="F1280" s="2" t="s">
        <v>48</v>
      </c>
      <c r="G1280" s="2" t="s">
        <v>39</v>
      </c>
      <c r="H1280" s="2" t="s">
        <v>40</v>
      </c>
      <c r="I1280" s="2" t="s">
        <v>29</v>
      </c>
      <c r="J1280" s="2">
        <v>21036.0</v>
      </c>
      <c r="K1280" s="2">
        <v>12767.0</v>
      </c>
      <c r="L1280" s="2">
        <v>4966.0</v>
      </c>
      <c r="M1280" s="2">
        <v>4717.0</v>
      </c>
      <c r="N1280" s="2">
        <v>3409.0</v>
      </c>
      <c r="O1280" s="2">
        <v>4337.0</v>
      </c>
      <c r="P1280" s="2">
        <v>4006.0</v>
      </c>
      <c r="Q1280" s="2">
        <v>2864.0</v>
      </c>
      <c r="R1280" s="2">
        <v>26396.0</v>
      </c>
      <c r="S1280" s="2">
        <v>18400.0</v>
      </c>
      <c r="T1280" s="2">
        <v>7996.0</v>
      </c>
      <c r="U1280" s="2">
        <v>18156.0</v>
      </c>
      <c r="V1280" s="2">
        <v>244.0</v>
      </c>
      <c r="W1280" s="2">
        <v>8240.0</v>
      </c>
    </row>
    <row r="1281" ht="15.0" customHeight="1">
      <c r="A1281" s="2">
        <v>2025.0</v>
      </c>
      <c r="B1281" s="2" t="s">
        <v>57</v>
      </c>
      <c r="C1281" s="2">
        <v>9.0</v>
      </c>
      <c r="D1281" s="2" t="s">
        <v>78</v>
      </c>
      <c r="E1281" s="2" t="s">
        <v>63</v>
      </c>
      <c r="F1281" s="2" t="s">
        <v>48</v>
      </c>
      <c r="G1281" s="2" t="s">
        <v>39</v>
      </c>
      <c r="H1281" s="2" t="s">
        <v>40</v>
      </c>
      <c r="I1281" s="2" t="s">
        <v>30</v>
      </c>
      <c r="J1281" s="2">
        <v>8961.0</v>
      </c>
      <c r="K1281" s="2">
        <v>3899.0</v>
      </c>
      <c r="L1281" s="2">
        <v>1974.0</v>
      </c>
      <c r="M1281" s="2">
        <v>1874.0</v>
      </c>
      <c r="N1281" s="2">
        <v>1616.0</v>
      </c>
      <c r="O1281" s="2">
        <v>2178.0</v>
      </c>
      <c r="P1281" s="2">
        <v>1971.0</v>
      </c>
      <c r="Q1281" s="2">
        <v>1339.0</v>
      </c>
      <c r="R1281" s="2">
        <v>14652.0</v>
      </c>
      <c r="S1281" s="2">
        <v>14233.0</v>
      </c>
      <c r="T1281" s="2">
        <v>419.0</v>
      </c>
      <c r="U1281" s="2">
        <v>14233.0</v>
      </c>
      <c r="V1281" s="2">
        <v>0.0</v>
      </c>
      <c r="W1281" s="2">
        <v>419.0</v>
      </c>
    </row>
    <row r="1282" ht="15.0" customHeight="1">
      <c r="A1282" s="2">
        <v>2025.0</v>
      </c>
      <c r="B1282" s="2" t="s">
        <v>57</v>
      </c>
      <c r="C1282" s="2">
        <v>9.0</v>
      </c>
      <c r="D1282" s="2" t="s">
        <v>78</v>
      </c>
      <c r="E1282" s="2" t="s">
        <v>63</v>
      </c>
      <c r="F1282" s="2" t="s">
        <v>48</v>
      </c>
      <c r="G1282" s="2" t="s">
        <v>39</v>
      </c>
      <c r="H1282" s="2" t="s">
        <v>40</v>
      </c>
      <c r="I1282" s="2" t="s">
        <v>31</v>
      </c>
      <c r="J1282" s="2">
        <v>2164.0</v>
      </c>
      <c r="K1282" s="2">
        <v>1390.0</v>
      </c>
      <c r="L1282" s="2">
        <v>756.0</v>
      </c>
      <c r="M1282" s="2">
        <v>663.0</v>
      </c>
      <c r="N1282" s="2">
        <v>577.0</v>
      </c>
      <c r="O1282" s="2">
        <v>841.0</v>
      </c>
      <c r="P1282" s="2">
        <v>782.0</v>
      </c>
      <c r="Q1282" s="2">
        <v>495.0</v>
      </c>
      <c r="R1282" s="2">
        <v>6812.0</v>
      </c>
      <c r="S1282" s="2">
        <v>0.0</v>
      </c>
      <c r="T1282" s="2">
        <v>6812.0</v>
      </c>
      <c r="U1282" s="2">
        <v>0.0</v>
      </c>
      <c r="V1282" s="2">
        <v>0.0</v>
      </c>
      <c r="W1282" s="2">
        <v>6812.0</v>
      </c>
    </row>
    <row r="1283" ht="15.0" customHeight="1">
      <c r="A1283" s="2">
        <v>2025.0</v>
      </c>
      <c r="B1283" s="2" t="s">
        <v>57</v>
      </c>
      <c r="C1283" s="2">
        <v>9.0</v>
      </c>
      <c r="D1283" s="2" t="s">
        <v>78</v>
      </c>
      <c r="E1283" s="2" t="s">
        <v>63</v>
      </c>
      <c r="F1283" s="2" t="s">
        <v>48</v>
      </c>
      <c r="G1283" s="2" t="s">
        <v>41</v>
      </c>
      <c r="H1283" s="2" t="s">
        <v>42</v>
      </c>
      <c r="I1283" s="2" t="s">
        <v>29</v>
      </c>
      <c r="J1283" s="2">
        <v>13396.0</v>
      </c>
      <c r="K1283" s="2">
        <v>8403.0</v>
      </c>
      <c r="L1283" s="2">
        <v>1997.0</v>
      </c>
      <c r="M1283" s="2">
        <v>1810.0</v>
      </c>
      <c r="N1283" s="2">
        <v>825.0</v>
      </c>
      <c r="O1283" s="2">
        <v>1014.0</v>
      </c>
      <c r="P1283" s="2">
        <v>792.0</v>
      </c>
      <c r="Q1283" s="2">
        <v>0.0</v>
      </c>
      <c r="R1283" s="2">
        <v>7845.0</v>
      </c>
      <c r="S1283" s="2">
        <v>11404.0</v>
      </c>
      <c r="T1283" s="2">
        <v>-3559.0</v>
      </c>
      <c r="U1283" s="2">
        <v>7533.0</v>
      </c>
      <c r="V1283" s="2">
        <v>3871.0</v>
      </c>
      <c r="W1283" s="2">
        <v>312.0</v>
      </c>
    </row>
    <row r="1284" ht="15.0" customHeight="1">
      <c r="A1284" s="2">
        <v>2025.0</v>
      </c>
      <c r="B1284" s="2" t="s">
        <v>57</v>
      </c>
      <c r="C1284" s="2">
        <v>9.0</v>
      </c>
      <c r="D1284" s="2" t="s">
        <v>78</v>
      </c>
      <c r="E1284" s="2" t="s">
        <v>63</v>
      </c>
      <c r="F1284" s="2" t="s">
        <v>48</v>
      </c>
      <c r="G1284" s="2" t="s">
        <v>41</v>
      </c>
      <c r="H1284" s="2" t="s">
        <v>42</v>
      </c>
      <c r="I1284" s="2" t="s">
        <v>30</v>
      </c>
      <c r="J1284" s="2">
        <v>16165.0</v>
      </c>
      <c r="K1284" s="2">
        <v>8141.0</v>
      </c>
      <c r="L1284" s="2">
        <v>4556.0</v>
      </c>
      <c r="M1284" s="2">
        <v>4216.0</v>
      </c>
      <c r="N1284" s="2">
        <v>1800.0</v>
      </c>
      <c r="O1284" s="2">
        <v>2222.0</v>
      </c>
      <c r="P1284" s="2">
        <v>1708.0</v>
      </c>
      <c r="Q1284" s="2">
        <v>0.0</v>
      </c>
      <c r="R1284" s="2">
        <v>16896.0</v>
      </c>
      <c r="S1284" s="2">
        <v>14530.0</v>
      </c>
      <c r="T1284" s="2">
        <v>2365.0</v>
      </c>
      <c r="U1284" s="2">
        <v>14530.0</v>
      </c>
      <c r="V1284" s="2">
        <v>0.0</v>
      </c>
      <c r="W1284" s="2">
        <v>2365.0</v>
      </c>
    </row>
    <row r="1285" ht="15.0" customHeight="1">
      <c r="A1285" s="2">
        <v>2025.0</v>
      </c>
      <c r="B1285" s="2" t="s">
        <v>57</v>
      </c>
      <c r="C1285" s="2">
        <v>9.0</v>
      </c>
      <c r="D1285" s="2" t="s">
        <v>78</v>
      </c>
      <c r="E1285" s="2" t="s">
        <v>63</v>
      </c>
      <c r="F1285" s="2" t="s">
        <v>48</v>
      </c>
      <c r="G1285" s="2" t="s">
        <v>41</v>
      </c>
      <c r="H1285" s="2" t="s">
        <v>42</v>
      </c>
      <c r="I1285" s="2" t="s">
        <v>31</v>
      </c>
      <c r="J1285" s="2">
        <v>9030.0</v>
      </c>
      <c r="K1285" s="2">
        <v>4249.0</v>
      </c>
      <c r="L1285" s="2">
        <v>3764.0</v>
      </c>
      <c r="M1285" s="2">
        <v>3007.0</v>
      </c>
      <c r="N1285" s="2">
        <v>1110.0</v>
      </c>
      <c r="O1285" s="2">
        <v>1389.0</v>
      </c>
      <c r="P1285" s="2">
        <v>1065.0</v>
      </c>
      <c r="Q1285" s="2">
        <v>0.0</v>
      </c>
      <c r="R1285" s="2">
        <v>11613.0</v>
      </c>
      <c r="S1285" s="2">
        <v>31.0</v>
      </c>
      <c r="T1285" s="2">
        <v>11582.0</v>
      </c>
      <c r="U1285" s="2">
        <v>31.0</v>
      </c>
      <c r="V1285" s="2">
        <v>0.0</v>
      </c>
      <c r="W1285" s="2">
        <v>11582.0</v>
      </c>
    </row>
    <row r="1286" ht="15.0" customHeight="1">
      <c r="A1286" s="2">
        <v>2025.0</v>
      </c>
      <c r="B1286" s="2" t="s">
        <v>57</v>
      </c>
      <c r="C1286" s="2">
        <v>9.0</v>
      </c>
      <c r="D1286" s="2" t="s">
        <v>78</v>
      </c>
      <c r="E1286" s="2" t="s">
        <v>63</v>
      </c>
      <c r="F1286" s="2" t="s">
        <v>48</v>
      </c>
      <c r="G1286" s="2" t="s">
        <v>43</v>
      </c>
      <c r="H1286" s="2" t="s">
        <v>42</v>
      </c>
      <c r="I1286" s="2" t="s">
        <v>29</v>
      </c>
      <c r="J1286" s="2">
        <v>13325.0</v>
      </c>
      <c r="K1286" s="2">
        <v>6219.0</v>
      </c>
      <c r="L1286" s="2">
        <v>3224.0</v>
      </c>
      <c r="M1286" s="2">
        <v>2979.0</v>
      </c>
      <c r="N1286" s="2">
        <v>1393.0</v>
      </c>
      <c r="O1286" s="2">
        <v>2671.0</v>
      </c>
      <c r="P1286" s="2">
        <v>2327.0</v>
      </c>
      <c r="Q1286" s="2">
        <v>0.0</v>
      </c>
      <c r="R1286" s="2">
        <v>95447.0</v>
      </c>
      <c r="S1286" s="2">
        <v>53856.0</v>
      </c>
      <c r="T1286" s="2">
        <v>41592.0</v>
      </c>
      <c r="U1286" s="2">
        <v>52488.0</v>
      </c>
      <c r="V1286" s="2">
        <v>1368.0</v>
      </c>
      <c r="W1286" s="2">
        <v>42959.0</v>
      </c>
    </row>
    <row r="1287" ht="15.0" customHeight="1">
      <c r="A1287" s="2">
        <v>2025.0</v>
      </c>
      <c r="B1287" s="2" t="s">
        <v>57</v>
      </c>
      <c r="C1287" s="2">
        <v>9.0</v>
      </c>
      <c r="D1287" s="2" t="s">
        <v>78</v>
      </c>
      <c r="E1287" s="2" t="s">
        <v>63</v>
      </c>
      <c r="F1287" s="2" t="s">
        <v>48</v>
      </c>
      <c r="G1287" s="2" t="s">
        <v>43</v>
      </c>
      <c r="H1287" s="2" t="s">
        <v>42</v>
      </c>
      <c r="I1287" s="2" t="s">
        <v>30</v>
      </c>
      <c r="J1287" s="2">
        <v>5543.0</v>
      </c>
      <c r="K1287" s="2">
        <v>2053.0</v>
      </c>
      <c r="L1287" s="2">
        <v>1039.0</v>
      </c>
      <c r="M1287" s="2">
        <v>932.0</v>
      </c>
      <c r="N1287" s="2">
        <v>316.0</v>
      </c>
      <c r="O1287" s="2">
        <v>648.0</v>
      </c>
      <c r="P1287" s="2">
        <v>572.0</v>
      </c>
      <c r="Q1287" s="2">
        <v>0.0</v>
      </c>
      <c r="R1287" s="2">
        <v>24756.0</v>
      </c>
      <c r="S1287" s="2">
        <v>17769.0</v>
      </c>
      <c r="T1287" s="2">
        <v>6988.0</v>
      </c>
      <c r="U1287" s="2">
        <v>17769.0</v>
      </c>
      <c r="V1287" s="2">
        <v>0.0</v>
      </c>
      <c r="W1287" s="2">
        <v>6988.0</v>
      </c>
    </row>
    <row r="1288" ht="15.0" customHeight="1">
      <c r="A1288" s="2">
        <v>2025.0</v>
      </c>
      <c r="B1288" s="2" t="s">
        <v>57</v>
      </c>
      <c r="C1288" s="2">
        <v>9.0</v>
      </c>
      <c r="D1288" s="2" t="s">
        <v>78</v>
      </c>
      <c r="E1288" s="2" t="s">
        <v>63</v>
      </c>
      <c r="F1288" s="2" t="s">
        <v>48</v>
      </c>
      <c r="G1288" s="2" t="s">
        <v>43</v>
      </c>
      <c r="H1288" s="2" t="s">
        <v>42</v>
      </c>
      <c r="I1288" s="2" t="s">
        <v>31</v>
      </c>
      <c r="J1288" s="2">
        <v>680.0</v>
      </c>
      <c r="K1288" s="2">
        <v>396.0</v>
      </c>
      <c r="L1288" s="2">
        <v>289.0</v>
      </c>
      <c r="M1288" s="2">
        <v>241.0</v>
      </c>
      <c r="N1288" s="2">
        <v>114.0</v>
      </c>
      <c r="O1288" s="2">
        <v>244.0</v>
      </c>
      <c r="P1288" s="2">
        <v>222.0</v>
      </c>
      <c r="Q1288" s="2">
        <v>0.0</v>
      </c>
      <c r="R1288" s="2">
        <v>8817.0</v>
      </c>
      <c r="S1288" s="2">
        <v>0.0</v>
      </c>
      <c r="T1288" s="2">
        <v>8817.0</v>
      </c>
      <c r="U1288" s="2">
        <v>0.0</v>
      </c>
      <c r="V1288" s="2">
        <v>0.0</v>
      </c>
      <c r="W1288" s="2">
        <v>8817.0</v>
      </c>
    </row>
    <row r="1289" ht="15.0" customHeight="1">
      <c r="A1289" s="2">
        <v>2025.0</v>
      </c>
      <c r="B1289" s="2" t="s">
        <v>57</v>
      </c>
      <c r="C1289" s="2">
        <v>9.0</v>
      </c>
      <c r="D1289" s="2" t="s">
        <v>78</v>
      </c>
      <c r="E1289" s="2" t="s">
        <v>63</v>
      </c>
      <c r="F1289" s="2" t="s">
        <v>48</v>
      </c>
      <c r="G1289" s="2" t="s">
        <v>44</v>
      </c>
      <c r="H1289" s="2" t="s">
        <v>45</v>
      </c>
      <c r="I1289" s="2" t="s">
        <v>29</v>
      </c>
      <c r="J1289" s="2">
        <v>1900.0</v>
      </c>
      <c r="K1289" s="2">
        <v>997.0</v>
      </c>
      <c r="L1289" s="2">
        <v>266.0</v>
      </c>
      <c r="M1289" s="2">
        <v>254.0</v>
      </c>
      <c r="N1289" s="2">
        <v>230.0</v>
      </c>
      <c r="O1289" s="2">
        <v>424.0</v>
      </c>
      <c r="P1289" s="2">
        <v>345.0</v>
      </c>
      <c r="Q1289" s="2">
        <v>122.0</v>
      </c>
      <c r="R1289" s="2">
        <v>8220.0</v>
      </c>
      <c r="S1289" s="2">
        <v>9894.0</v>
      </c>
      <c r="T1289" s="2">
        <v>-1674.0</v>
      </c>
      <c r="U1289" s="2">
        <v>5832.0</v>
      </c>
      <c r="V1289" s="2">
        <v>4062.0</v>
      </c>
      <c r="W1289" s="2">
        <v>2388.0</v>
      </c>
    </row>
    <row r="1290" ht="15.0" customHeight="1">
      <c r="A1290" s="2">
        <v>2025.0</v>
      </c>
      <c r="B1290" s="2" t="s">
        <v>57</v>
      </c>
      <c r="C1290" s="2">
        <v>9.0</v>
      </c>
      <c r="D1290" s="2" t="s">
        <v>78</v>
      </c>
      <c r="E1290" s="2" t="s">
        <v>63</v>
      </c>
      <c r="F1290" s="2" t="s">
        <v>48</v>
      </c>
      <c r="G1290" s="2" t="s">
        <v>44</v>
      </c>
      <c r="H1290" s="2" t="s">
        <v>45</v>
      </c>
      <c r="I1290" s="2" t="s">
        <v>30</v>
      </c>
      <c r="J1290" s="2">
        <v>1868.0</v>
      </c>
      <c r="K1290" s="2">
        <v>859.0</v>
      </c>
      <c r="L1290" s="2">
        <v>293.0</v>
      </c>
      <c r="M1290" s="2">
        <v>215.0</v>
      </c>
      <c r="N1290" s="2">
        <v>171.0</v>
      </c>
      <c r="O1290" s="2">
        <v>260.0</v>
      </c>
      <c r="P1290" s="2">
        <v>184.0</v>
      </c>
      <c r="Q1290" s="2">
        <v>77.0</v>
      </c>
      <c r="R1290" s="2">
        <v>4424.0</v>
      </c>
      <c r="S1290" s="2">
        <v>3489.0</v>
      </c>
      <c r="T1290" s="2">
        <v>935.0</v>
      </c>
      <c r="U1290" s="2">
        <v>3489.0</v>
      </c>
      <c r="V1290" s="2">
        <v>0.0</v>
      </c>
      <c r="W1290" s="2">
        <v>935.0</v>
      </c>
    </row>
    <row r="1291" ht="15.0" customHeight="1">
      <c r="A1291" s="2">
        <v>2025.0</v>
      </c>
      <c r="B1291" s="2" t="s">
        <v>57</v>
      </c>
      <c r="C1291" s="2">
        <v>9.0</v>
      </c>
      <c r="D1291" s="2" t="s">
        <v>78</v>
      </c>
      <c r="E1291" s="2" t="s">
        <v>63</v>
      </c>
      <c r="F1291" s="2" t="s">
        <v>48</v>
      </c>
      <c r="G1291" s="2" t="s">
        <v>44</v>
      </c>
      <c r="H1291" s="2" t="s">
        <v>45</v>
      </c>
      <c r="I1291" s="2" t="s">
        <v>31</v>
      </c>
      <c r="J1291" s="2">
        <v>309.0</v>
      </c>
      <c r="K1291" s="2">
        <v>163.0</v>
      </c>
      <c r="L1291" s="2">
        <v>73.0</v>
      </c>
      <c r="M1291" s="2">
        <v>54.0</v>
      </c>
      <c r="N1291" s="2">
        <v>50.0</v>
      </c>
      <c r="O1291" s="2">
        <v>219.0</v>
      </c>
      <c r="P1291" s="2">
        <v>186.0</v>
      </c>
      <c r="Q1291" s="2">
        <v>47.0</v>
      </c>
      <c r="R1291" s="2">
        <v>6454.0</v>
      </c>
      <c r="S1291" s="2">
        <v>0.0</v>
      </c>
      <c r="T1291" s="2">
        <v>6454.0</v>
      </c>
      <c r="U1291" s="2">
        <v>0.0</v>
      </c>
      <c r="V1291" s="2">
        <v>0.0</v>
      </c>
      <c r="W1291" s="2">
        <v>6454.0</v>
      </c>
    </row>
    <row r="1292" ht="15.0" customHeight="1">
      <c r="A1292" s="2">
        <v>2025.0</v>
      </c>
      <c r="B1292" s="2" t="s">
        <v>57</v>
      </c>
      <c r="C1292" s="2">
        <v>9.0</v>
      </c>
      <c r="D1292" s="2" t="s">
        <v>78</v>
      </c>
      <c r="E1292" s="2" t="s">
        <v>63</v>
      </c>
      <c r="F1292" s="2" t="s">
        <v>48</v>
      </c>
      <c r="G1292" s="2" t="s">
        <v>46</v>
      </c>
      <c r="H1292" s="2" t="s">
        <v>47</v>
      </c>
      <c r="I1292" s="2" t="s">
        <v>29</v>
      </c>
      <c r="J1292" s="2">
        <v>13840.0</v>
      </c>
      <c r="K1292" s="2">
        <v>6164.0</v>
      </c>
      <c r="L1292" s="2">
        <v>2042.0</v>
      </c>
      <c r="M1292" s="2">
        <v>1870.0</v>
      </c>
      <c r="N1292" s="2">
        <v>1844.0</v>
      </c>
      <c r="O1292" s="2">
        <v>4100.0</v>
      </c>
      <c r="P1292" s="2">
        <v>2967.0</v>
      </c>
      <c r="Q1292" s="2">
        <v>1758.0</v>
      </c>
      <c r="R1292" s="2">
        <v>95123.0</v>
      </c>
      <c r="S1292" s="2">
        <v>49322.0</v>
      </c>
      <c r="T1292" s="2">
        <v>45801.0</v>
      </c>
      <c r="U1292" s="2">
        <v>49167.0</v>
      </c>
      <c r="V1292" s="2">
        <v>155.0</v>
      </c>
      <c r="W1292" s="2">
        <v>45956.0</v>
      </c>
    </row>
    <row r="1293" ht="15.0" customHeight="1">
      <c r="A1293" s="2">
        <v>2025.0</v>
      </c>
      <c r="B1293" s="2" t="s">
        <v>57</v>
      </c>
      <c r="C1293" s="2">
        <v>9.0</v>
      </c>
      <c r="D1293" s="2" t="s">
        <v>78</v>
      </c>
      <c r="E1293" s="2" t="s">
        <v>63</v>
      </c>
      <c r="F1293" s="2" t="s">
        <v>48</v>
      </c>
      <c r="G1293" s="2" t="s">
        <v>46</v>
      </c>
      <c r="H1293" s="2" t="s">
        <v>47</v>
      </c>
      <c r="I1293" s="2" t="s">
        <v>30</v>
      </c>
      <c r="J1293" s="2">
        <v>5043.0</v>
      </c>
      <c r="K1293" s="2">
        <v>1540.0</v>
      </c>
      <c r="L1293" s="2">
        <v>705.0</v>
      </c>
      <c r="M1293" s="2">
        <v>545.0</v>
      </c>
      <c r="N1293" s="2">
        <v>533.0</v>
      </c>
      <c r="O1293" s="2">
        <v>1092.0</v>
      </c>
      <c r="P1293" s="2">
        <v>839.0</v>
      </c>
      <c r="Q1293" s="2">
        <v>548.0</v>
      </c>
      <c r="R1293" s="2">
        <v>25734.0</v>
      </c>
      <c r="S1293" s="2">
        <v>17773.0</v>
      </c>
      <c r="T1293" s="2">
        <v>7961.0</v>
      </c>
      <c r="U1293" s="2">
        <v>17773.0</v>
      </c>
      <c r="V1293" s="2">
        <v>0.0</v>
      </c>
      <c r="W1293" s="2">
        <v>7961.0</v>
      </c>
    </row>
    <row r="1294" ht="15.0" customHeight="1">
      <c r="A1294" s="2">
        <v>2025.0</v>
      </c>
      <c r="B1294" s="2" t="s">
        <v>57</v>
      </c>
      <c r="C1294" s="2">
        <v>9.0</v>
      </c>
      <c r="D1294" s="2" t="s">
        <v>78</v>
      </c>
      <c r="E1294" s="2" t="s">
        <v>63</v>
      </c>
      <c r="F1294" s="2" t="s">
        <v>48</v>
      </c>
      <c r="G1294" s="2" t="s">
        <v>46</v>
      </c>
      <c r="H1294" s="2" t="s">
        <v>47</v>
      </c>
      <c r="I1294" s="2" t="s">
        <v>31</v>
      </c>
      <c r="J1294" s="2">
        <v>813.0</v>
      </c>
      <c r="K1294" s="2">
        <v>337.0</v>
      </c>
      <c r="L1294" s="2">
        <v>152.0</v>
      </c>
      <c r="M1294" s="2">
        <v>109.0</v>
      </c>
      <c r="N1294" s="2">
        <v>105.0</v>
      </c>
      <c r="O1294" s="2">
        <v>248.0</v>
      </c>
      <c r="P1294" s="2">
        <v>181.0</v>
      </c>
      <c r="Q1294" s="2">
        <v>97.0</v>
      </c>
      <c r="R1294" s="2">
        <v>5965.0</v>
      </c>
      <c r="S1294" s="2">
        <v>26.0</v>
      </c>
      <c r="T1294" s="2">
        <v>5939.0</v>
      </c>
      <c r="U1294" s="2">
        <v>26.0</v>
      </c>
      <c r="V1294" s="2">
        <v>0.0</v>
      </c>
      <c r="W1294" s="2">
        <v>5939.0</v>
      </c>
    </row>
  </sheetData>
  <autoFilter ref="$A$1:$W$1294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6B3A8"/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12" width="16.0"/>
    <col customWidth="1" min="13" max="26" width="8.71"/>
  </cols>
  <sheetData>
    <row r="1" ht="19.5" customHeight="1">
      <c r="A1" s="3" t="s">
        <v>79</v>
      </c>
      <c r="G1" s="2"/>
      <c r="H1" s="2"/>
      <c r="I1" s="2"/>
      <c r="J1" s="2"/>
      <c r="K1" s="2"/>
      <c r="L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0" customHeight="1">
      <c r="A3" s="1" t="s">
        <v>80</v>
      </c>
      <c r="B3" s="1" t="s">
        <v>25</v>
      </c>
      <c r="C3" s="1" t="s">
        <v>63</v>
      </c>
      <c r="D3" s="1" t="s">
        <v>81</v>
      </c>
      <c r="E3" s="1" t="s">
        <v>82</v>
      </c>
      <c r="F3" s="2"/>
      <c r="G3" s="2"/>
      <c r="H3" s="2"/>
      <c r="I3" s="2"/>
      <c r="J3" s="2"/>
      <c r="K3" s="2"/>
      <c r="L3" s="2"/>
    </row>
    <row r="4" ht="15.0" customHeight="1">
      <c r="A4" s="4" t="s">
        <v>83</v>
      </c>
      <c r="B4" s="5">
        <f>SUMIFS(Data!$J$2:$J$1294,Data!$F$2:$F$1294,"United Kingdom",Data!$E$2:$E$1294,"H2 2024")</f>
        <v>985316</v>
      </c>
      <c r="C4" s="5">
        <f>SUMIFS(Data!$J$2:$J$1294,Data!$F$2:$F$1294,"United Kingdom",Data!$E$2:$E$1294,"H2 2025")</f>
        <v>1077620</v>
      </c>
      <c r="D4" s="5">
        <f t="shared" ref="D4:D20" si="1">C4-B4</f>
        <v>92304</v>
      </c>
      <c r="E4" s="6">
        <f t="shared" ref="E4:E12" si="2">IF(B4=0,"N/A",C4/B4-1)</f>
        <v>0.09367959112</v>
      </c>
      <c r="F4" s="2"/>
      <c r="G4" s="2"/>
      <c r="H4" s="2"/>
      <c r="I4" s="2"/>
      <c r="J4" s="2"/>
      <c r="K4" s="2"/>
      <c r="L4" s="2"/>
    </row>
    <row r="5" ht="15.0" customHeight="1">
      <c r="A5" s="7" t="s">
        <v>84</v>
      </c>
      <c r="B5" s="8">
        <f>SUMIFS(Data!$K$2:$K$1294,Data!$F$2:$F$1294,"United Kingdom",Data!$E$2:$E$1294,"H2 2024")</f>
        <v>565077</v>
      </c>
      <c r="C5" s="8">
        <f>SUMIFS(Data!$K$2:$K$1294,Data!$F$2:$F$1294,"United Kingdom",Data!$E$2:$E$1294,"H2 2025")</f>
        <v>497582</v>
      </c>
      <c r="D5" s="8">
        <f t="shared" si="1"/>
        <v>-67495</v>
      </c>
      <c r="E5" s="9">
        <f t="shared" si="2"/>
        <v>-0.1194438988</v>
      </c>
      <c r="F5" s="2"/>
      <c r="G5" s="2"/>
      <c r="H5" s="2"/>
      <c r="I5" s="2"/>
      <c r="J5" s="2"/>
      <c r="K5" s="2"/>
      <c r="L5" s="2"/>
    </row>
    <row r="6" ht="15.0" customHeight="1">
      <c r="A6" s="4" t="s">
        <v>85</v>
      </c>
      <c r="B6" s="5">
        <f>SUMIFS(Data!$L$2:$L$1294,Data!$F$2:$F$1294,"United Kingdom",Data!$E$2:$E$1294,"H2 2024")</f>
        <v>288594</v>
      </c>
      <c r="C6" s="5">
        <f>SUMIFS(Data!$L$2:$L$1294,Data!$F$2:$F$1294,"United Kingdom",Data!$E$2:$E$1294,"H2 2025")</f>
        <v>262986</v>
      </c>
      <c r="D6" s="5">
        <f t="shared" si="1"/>
        <v>-25608</v>
      </c>
      <c r="E6" s="6">
        <f t="shared" si="2"/>
        <v>-0.08873365351</v>
      </c>
      <c r="F6" s="2"/>
      <c r="G6" s="2"/>
      <c r="H6" s="2"/>
      <c r="I6" s="2"/>
      <c r="J6" s="2"/>
      <c r="K6" s="2"/>
      <c r="L6" s="2"/>
    </row>
    <row r="7" ht="15.0" customHeight="1">
      <c r="A7" s="7" t="s">
        <v>86</v>
      </c>
      <c r="B7" s="8">
        <f>SUMIFS(Data!$M$2:$M$1294,Data!$F$2:$F$1294,"United Kingdom",Data!$E$2:$E$1294,"H2 2024")</f>
        <v>272412</v>
      </c>
      <c r="C7" s="8">
        <f>SUMIFS(Data!$M$2:$M$1294,Data!$F$2:$F$1294,"United Kingdom",Data!$E$2:$E$1294,"H2 2025")</f>
        <v>243561</v>
      </c>
      <c r="D7" s="8">
        <f t="shared" si="1"/>
        <v>-28851</v>
      </c>
      <c r="E7" s="9">
        <f t="shared" si="2"/>
        <v>-0.1059094313</v>
      </c>
      <c r="F7" s="2"/>
      <c r="G7" s="2"/>
      <c r="H7" s="2"/>
      <c r="I7" s="2"/>
      <c r="J7" s="2"/>
      <c r="K7" s="2"/>
      <c r="L7" s="2"/>
    </row>
    <row r="8" ht="15.0" customHeight="1">
      <c r="A8" s="4" t="s">
        <v>87</v>
      </c>
      <c r="B8" s="5">
        <f>SUMIFS(Data!$N$2:$N$1294,Data!$F$2:$F$1294,"United Kingdom",Data!$E$2:$E$1294,"H2 2024")</f>
        <v>150382</v>
      </c>
      <c r="C8" s="5">
        <f>SUMIFS(Data!$N$2:$N$1294,Data!$F$2:$F$1294,"United Kingdom",Data!$E$2:$E$1294,"H2 2025")</f>
        <v>130477</v>
      </c>
      <c r="D8" s="5">
        <f t="shared" si="1"/>
        <v>-19905</v>
      </c>
      <c r="E8" s="6">
        <f t="shared" si="2"/>
        <v>-0.1323629158</v>
      </c>
      <c r="F8" s="2"/>
      <c r="G8" s="2"/>
      <c r="H8" s="2"/>
      <c r="I8" s="2"/>
      <c r="J8" s="2"/>
      <c r="K8" s="2"/>
      <c r="L8" s="2"/>
    </row>
    <row r="9" ht="15.0" customHeight="1">
      <c r="A9" s="7" t="s">
        <v>88</v>
      </c>
      <c r="B9" s="8">
        <f>SUMIFS(Data!$P$2:$P$1294,Data!$F$2:$F$1294,"United Kingdom",Data!$E$2:$E$1294,"H2 2024")</f>
        <v>177828</v>
      </c>
      <c r="C9" s="8">
        <f>SUMIFS(Data!$P$2:$P$1294,Data!$F$2:$F$1294,"United Kingdom",Data!$E$2:$E$1294,"H2 2025")</f>
        <v>139701</v>
      </c>
      <c r="D9" s="8">
        <f t="shared" si="1"/>
        <v>-38127</v>
      </c>
      <c r="E9" s="9">
        <f t="shared" si="2"/>
        <v>-0.2144038059</v>
      </c>
      <c r="F9" s="2"/>
      <c r="G9" s="2"/>
      <c r="H9" s="2"/>
      <c r="I9" s="2"/>
      <c r="J9" s="2"/>
      <c r="K9" s="2"/>
      <c r="L9" s="2"/>
    </row>
    <row r="10" ht="15.0" customHeight="1">
      <c r="A10" s="4" t="s">
        <v>89</v>
      </c>
      <c r="B10" s="10">
        <f>SUMIFS(Data!$R$2:$R$1294,Data!$F$2:$F$1294,"United Kingdom",Data!$E$2:$E$1294,"H2 2024")</f>
        <v>2495309</v>
      </c>
      <c r="C10" s="10">
        <f>SUMIFS(Data!$R$2:$R$1294,Data!$F$2:$F$1294,"United Kingdom",Data!$E$2:$E$1294,"H2 2025")</f>
        <v>2079690</v>
      </c>
      <c r="D10" s="10">
        <f t="shared" si="1"/>
        <v>-415619</v>
      </c>
      <c r="E10" s="6">
        <f t="shared" si="2"/>
        <v>-0.1665601334</v>
      </c>
      <c r="F10" s="2"/>
      <c r="G10" s="2"/>
      <c r="H10" s="2"/>
      <c r="I10" s="2"/>
      <c r="J10" s="2"/>
      <c r="K10" s="2"/>
      <c r="L10" s="2"/>
    </row>
    <row r="11" ht="15.0" customHeight="1">
      <c r="A11" s="7" t="s">
        <v>90</v>
      </c>
      <c r="B11" s="11">
        <f>SUMIFS(Data!$S$2:$S$1294,Data!$F$2:$F$1294,"United Kingdom",Data!$E$2:$E$1294,"H2 2024")</f>
        <v>1309474</v>
      </c>
      <c r="C11" s="11">
        <f>SUMIFS(Data!$S$2:$S$1294,Data!$F$2:$F$1294,"United Kingdom",Data!$E$2:$E$1294,"H2 2025")</f>
        <v>1128090</v>
      </c>
      <c r="D11" s="11">
        <f t="shared" si="1"/>
        <v>-181384</v>
      </c>
      <c r="E11" s="9">
        <f t="shared" si="2"/>
        <v>-0.1385166869</v>
      </c>
      <c r="F11" s="2"/>
      <c r="G11" s="2"/>
      <c r="H11" s="2"/>
      <c r="I11" s="2"/>
      <c r="J11" s="2"/>
      <c r="K11" s="2"/>
      <c r="L11" s="2"/>
    </row>
    <row r="12" ht="15.0" customHeight="1">
      <c r="A12" s="4" t="s">
        <v>91</v>
      </c>
      <c r="B12" s="10">
        <f>SUMIFS(Data!$T$2:$T$1294,Data!$F$2:$F$1294,"United Kingdom",Data!$E$2:$E$1294,"H2 2024")</f>
        <v>1185841</v>
      </c>
      <c r="C12" s="10">
        <f>SUMIFS(Data!$T$2:$T$1294,Data!$F$2:$F$1294,"United Kingdom",Data!$E$2:$E$1294,"H2 2025")</f>
        <v>951618</v>
      </c>
      <c r="D12" s="10">
        <f t="shared" si="1"/>
        <v>-234223</v>
      </c>
      <c r="E12" s="6">
        <f t="shared" si="2"/>
        <v>-0.1975163618</v>
      </c>
      <c r="F12" s="2"/>
      <c r="G12" s="2"/>
      <c r="H12" s="2"/>
      <c r="I12" s="2"/>
      <c r="J12" s="2"/>
      <c r="K12" s="2"/>
      <c r="L12" s="2"/>
    </row>
    <row r="13" ht="15.0" customHeight="1">
      <c r="A13" s="12" t="s">
        <v>92</v>
      </c>
      <c r="B13" s="13">
        <f t="shared" ref="B13:C13" si="3">B5/B4</f>
        <v>0.5734982483</v>
      </c>
      <c r="C13" s="13">
        <f t="shared" si="3"/>
        <v>0.4617416158</v>
      </c>
      <c r="D13" s="13">
        <f t="shared" si="1"/>
        <v>-0.1117566325</v>
      </c>
      <c r="E13" s="14">
        <f t="shared" ref="E13:E16" si="5">(C13-B13)*100</f>
        <v>-11.17566325</v>
      </c>
      <c r="F13" s="2"/>
      <c r="G13" s="2"/>
      <c r="H13" s="2"/>
      <c r="I13" s="2"/>
      <c r="J13" s="2"/>
      <c r="K13" s="2"/>
      <c r="L13" s="2"/>
    </row>
    <row r="14" ht="15.0" customHeight="1">
      <c r="A14" s="15" t="s">
        <v>93</v>
      </c>
      <c r="B14" s="16">
        <f t="shared" ref="B14:C14" si="4">B6/B4</f>
        <v>0.2928948682</v>
      </c>
      <c r="C14" s="16">
        <f t="shared" si="4"/>
        <v>0.2440433548</v>
      </c>
      <c r="D14" s="16">
        <f t="shared" si="1"/>
        <v>-0.04885151344</v>
      </c>
      <c r="E14" s="17">
        <f t="shared" si="5"/>
        <v>-4.885151344</v>
      </c>
      <c r="F14" s="2"/>
      <c r="G14" s="2"/>
      <c r="H14" s="2"/>
      <c r="I14" s="2"/>
      <c r="J14" s="2"/>
      <c r="K14" s="2"/>
      <c r="L14" s="2"/>
    </row>
    <row r="15" ht="15.0" customHeight="1">
      <c r="A15" s="12" t="s">
        <v>94</v>
      </c>
      <c r="B15" s="13">
        <f t="shared" ref="B15:C15" si="6">B7/B6</f>
        <v>0.9439281482</v>
      </c>
      <c r="C15" s="13">
        <f t="shared" si="6"/>
        <v>0.9261367525</v>
      </c>
      <c r="D15" s="13">
        <f t="shared" si="1"/>
        <v>-0.01779139567</v>
      </c>
      <c r="E15" s="14">
        <f t="shared" si="5"/>
        <v>-1.779139567</v>
      </c>
      <c r="F15" s="2"/>
      <c r="G15" s="2"/>
      <c r="H15" s="2"/>
      <c r="I15" s="2"/>
      <c r="J15" s="2"/>
      <c r="K15" s="2"/>
      <c r="L15" s="2"/>
    </row>
    <row r="16" ht="15.0" customHeight="1">
      <c r="A16" s="15" t="s">
        <v>95</v>
      </c>
      <c r="B16" s="16">
        <f t="shared" ref="B16:C16" si="7">B8/B7</f>
        <v>0.5520388235</v>
      </c>
      <c r="C16" s="16">
        <f t="shared" si="7"/>
        <v>0.5357056343</v>
      </c>
      <c r="D16" s="16">
        <f t="shared" si="1"/>
        <v>-0.01633318923</v>
      </c>
      <c r="E16" s="17">
        <f t="shared" si="5"/>
        <v>-1.633318923</v>
      </c>
      <c r="F16" s="2"/>
      <c r="G16" s="2"/>
      <c r="H16" s="2"/>
      <c r="I16" s="2"/>
      <c r="J16" s="2"/>
      <c r="K16" s="2"/>
      <c r="L16" s="2"/>
    </row>
    <row r="17" ht="15.0" customHeight="1">
      <c r="A17" s="12" t="s">
        <v>96</v>
      </c>
      <c r="B17" s="18">
        <f t="shared" ref="B17:C17" si="8">B10/B11</f>
        <v>1.905581172</v>
      </c>
      <c r="C17" s="18">
        <f t="shared" si="8"/>
        <v>1.843549717</v>
      </c>
      <c r="D17" s="19">
        <f t="shared" si="1"/>
        <v>-0.06203145551</v>
      </c>
      <c r="E17" s="6">
        <f>IF(B17=0,"N/A",C17/B17-1)</f>
        <v>-0.0325525128</v>
      </c>
      <c r="F17" s="2"/>
      <c r="G17" s="2"/>
      <c r="H17" s="2"/>
      <c r="I17" s="2"/>
      <c r="J17" s="2"/>
      <c r="K17" s="2"/>
      <c r="L17" s="2"/>
    </row>
    <row r="18" ht="15.0" customHeight="1">
      <c r="A18" s="15" t="s">
        <v>97</v>
      </c>
      <c r="B18" s="16">
        <f t="shared" ref="B18:C18" si="9">B12/B10</f>
        <v>0.475228118</v>
      </c>
      <c r="C18" s="16">
        <f t="shared" si="9"/>
        <v>0.4575768504</v>
      </c>
      <c r="D18" s="16">
        <f t="shared" si="1"/>
        <v>-0.01765126764</v>
      </c>
      <c r="E18" s="17">
        <f>(C18-B18)*100</f>
        <v>-1.765126764</v>
      </c>
      <c r="F18" s="2"/>
      <c r="G18" s="2"/>
      <c r="H18" s="2"/>
      <c r="I18" s="2"/>
      <c r="J18" s="2"/>
      <c r="K18" s="2"/>
      <c r="L18" s="2"/>
    </row>
    <row r="19" ht="15.0" customHeight="1">
      <c r="A19" s="12" t="s">
        <v>98</v>
      </c>
      <c r="B19" s="20">
        <f t="shared" ref="B19:C19" si="10">B10/B7</f>
        <v>9.160055357</v>
      </c>
      <c r="C19" s="20">
        <f t="shared" si="10"/>
        <v>8.538682301</v>
      </c>
      <c r="D19" s="20">
        <f t="shared" si="1"/>
        <v>-0.621373056</v>
      </c>
      <c r="E19" s="6">
        <f t="shared" ref="E19:E20" si="12">IF(B19=0,"N/A",C19/B19-1)</f>
        <v>-0.06783507651</v>
      </c>
      <c r="F19" s="2"/>
      <c r="G19" s="2"/>
      <c r="H19" s="2"/>
      <c r="I19" s="2"/>
      <c r="J19" s="2"/>
      <c r="K19" s="2"/>
      <c r="L19" s="2"/>
    </row>
    <row r="20" ht="15.0" customHeight="1">
      <c r="A20" s="15" t="s">
        <v>99</v>
      </c>
      <c r="B20" s="21">
        <f t="shared" ref="B20:C20" si="11">B10/B9</f>
        <v>14.03214904</v>
      </c>
      <c r="C20" s="21">
        <f t="shared" si="11"/>
        <v>14.88672236</v>
      </c>
      <c r="D20" s="21">
        <f t="shared" si="1"/>
        <v>0.8545733141</v>
      </c>
      <c r="E20" s="9">
        <f t="shared" si="12"/>
        <v>0.06090110015</v>
      </c>
      <c r="F20" s="2"/>
      <c r="G20" s="2"/>
      <c r="H20" s="2"/>
      <c r="I20" s="2"/>
      <c r="J20" s="2"/>
      <c r="K20" s="2"/>
      <c r="L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ht="17.25" customHeight="1">
      <c r="A23" s="22" t="s">
        <v>100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ht="15.0" customHeight="1">
      <c r="A24" s="1" t="s">
        <v>3</v>
      </c>
      <c r="B24" s="1" t="s">
        <v>101</v>
      </c>
      <c r="C24" s="1" t="s">
        <v>102</v>
      </c>
      <c r="D24" s="1" t="s">
        <v>85</v>
      </c>
      <c r="E24" s="1" t="s">
        <v>92</v>
      </c>
      <c r="F24" s="1" t="s">
        <v>103</v>
      </c>
      <c r="G24" s="1" t="s">
        <v>104</v>
      </c>
      <c r="H24" s="1" t="s">
        <v>105</v>
      </c>
      <c r="I24" s="1" t="s">
        <v>106</v>
      </c>
      <c r="J24" s="1" t="s">
        <v>107</v>
      </c>
      <c r="K24" s="1" t="s">
        <v>108</v>
      </c>
      <c r="L24" s="1" t="s">
        <v>96</v>
      </c>
    </row>
    <row r="25" ht="15.0" customHeight="1">
      <c r="A25" s="4" t="s">
        <v>52</v>
      </c>
      <c r="B25" s="5">
        <f>SUMIFS(Data!$J$2:$J$1294,Data!$F$2:$F$1294,"United Kingdom",Data!$D$2:$D$1294,"2024-07")</f>
        <v>206008</v>
      </c>
      <c r="C25" s="5">
        <f>SUMIFS(Data!$K$2:$K$1294,Data!$F$2:$F$1294,"United Kingdom",Data!$D$2:$D$1294,"2024-07")</f>
        <v>122136</v>
      </c>
      <c r="D25" s="5">
        <f>SUMIFS(Data!$L$2:$L$1294,Data!$F$2:$F$1294,"United Kingdom",Data!$D$2:$D$1294,"2024-07")</f>
        <v>65656</v>
      </c>
      <c r="E25" s="13">
        <f t="shared" ref="E25:E42" si="13">IF(B25=0,"",C25/B25)</f>
        <v>0.5928701798</v>
      </c>
      <c r="F25" s="13">
        <f t="shared" ref="F25:F42" si="14">IF(B25=0,"",D25/B25)</f>
        <v>0.3187060697</v>
      </c>
      <c r="G25" s="5">
        <f>SUMIFS(Data!$M$2:$M$1294,Data!$F$2:$F$1294,"United Kingdom",Data!$D$2:$D$1294,"2024-07")</f>
        <v>62002</v>
      </c>
      <c r="H25" s="10">
        <f>SUMIFS(Data!$R$2:$R$1294,Data!$F$2:$F$1294,"United Kingdom",Data!$D$2:$D$1294,"2024-07")</f>
        <v>499273</v>
      </c>
      <c r="I25" s="10">
        <f>SUMIFS(Data!$S$2:$S$1294,Data!$F$2:$F$1294,"United Kingdom",Data!$D$2:$D$1294,"2024-07")</f>
        <v>256623</v>
      </c>
      <c r="J25" s="10">
        <f>SUMIFS(Data!$T$2:$T$1294,Data!$F$2:$F$1294,"United Kingdom",Data!$D$2:$D$1294,"2024-07")</f>
        <v>242658</v>
      </c>
      <c r="K25" s="5">
        <f>SUMIFS(Data!$P$2:$P$1294,Data!$F$2:$F$1294,"United Kingdom",Data!$D$2:$D$1294,"2024-07")</f>
        <v>36666</v>
      </c>
      <c r="L25" s="23">
        <f t="shared" ref="L25:L42" si="15">IF(I25=0,"",H25/I25)</f>
        <v>1.945550477</v>
      </c>
    </row>
    <row r="26" ht="15.0" customHeight="1">
      <c r="A26" s="7" t="s">
        <v>24</v>
      </c>
      <c r="B26" s="8">
        <f>SUMIFS(Data!$J$2:$J$1294,Data!$F$2:$F$1294,"United Kingdom",Data!$D$2:$D$1294,"2024-08")</f>
        <v>191716</v>
      </c>
      <c r="C26" s="8">
        <f>SUMIFS(Data!$K$2:$K$1294,Data!$F$2:$F$1294,"United Kingdom",Data!$D$2:$D$1294,"2024-08")</f>
        <v>111551</v>
      </c>
      <c r="D26" s="8">
        <f>SUMIFS(Data!$L$2:$L$1294,Data!$F$2:$F$1294,"United Kingdom",Data!$D$2:$D$1294,"2024-08")</f>
        <v>57396</v>
      </c>
      <c r="E26" s="16">
        <f t="shared" si="13"/>
        <v>0.5818554529</v>
      </c>
      <c r="F26" s="16">
        <f t="shared" si="14"/>
        <v>0.2993803334</v>
      </c>
      <c r="G26" s="8">
        <f>SUMIFS(Data!$M$2:$M$1294,Data!$F$2:$F$1294,"United Kingdom",Data!$D$2:$D$1294,"2024-08")</f>
        <v>54246</v>
      </c>
      <c r="H26" s="11">
        <f>SUMIFS(Data!$R$2:$R$1294,Data!$F$2:$F$1294,"United Kingdom",Data!$D$2:$D$1294,"2024-08")</f>
        <v>466690</v>
      </c>
      <c r="I26" s="11">
        <f>SUMIFS(Data!$S$2:$S$1294,Data!$F$2:$F$1294,"United Kingdom",Data!$D$2:$D$1294,"2024-08")</f>
        <v>255585</v>
      </c>
      <c r="J26" s="11">
        <f>SUMIFS(Data!$T$2:$T$1294,Data!$F$2:$F$1294,"United Kingdom",Data!$D$2:$D$1294,"2024-08")</f>
        <v>211104</v>
      </c>
      <c r="K26" s="8">
        <f>SUMIFS(Data!$P$2:$P$1294,Data!$F$2:$F$1294,"United Kingdom",Data!$D$2:$D$1294,"2024-08")</f>
        <v>33826</v>
      </c>
      <c r="L26" s="24">
        <f t="shared" si="15"/>
        <v>1.825967878</v>
      </c>
    </row>
    <row r="27" ht="15.0" customHeight="1">
      <c r="A27" s="4" t="s">
        <v>58</v>
      </c>
      <c r="B27" s="5">
        <f>SUMIFS(Data!$J$2:$J$1294,Data!$F$2:$F$1294,"United Kingdom",Data!$D$2:$D$1294,"2024-09")</f>
        <v>176225</v>
      </c>
      <c r="C27" s="5">
        <f>SUMIFS(Data!$K$2:$K$1294,Data!$F$2:$F$1294,"United Kingdom",Data!$D$2:$D$1294,"2024-09")</f>
        <v>100919</v>
      </c>
      <c r="D27" s="5">
        <f>SUMIFS(Data!$L$2:$L$1294,Data!$F$2:$F$1294,"United Kingdom",Data!$D$2:$D$1294,"2024-09")</f>
        <v>51393</v>
      </c>
      <c r="E27" s="13">
        <f t="shared" si="13"/>
        <v>0.5726713009</v>
      </c>
      <c r="F27" s="13">
        <f t="shared" si="14"/>
        <v>0.2916328557</v>
      </c>
      <c r="G27" s="5">
        <f>SUMIFS(Data!$M$2:$M$1294,Data!$F$2:$F$1294,"United Kingdom",Data!$D$2:$D$1294,"2024-09")</f>
        <v>48547</v>
      </c>
      <c r="H27" s="10">
        <f>SUMIFS(Data!$R$2:$R$1294,Data!$F$2:$F$1294,"United Kingdom",Data!$D$2:$D$1294,"2024-09")</f>
        <v>433533</v>
      </c>
      <c r="I27" s="10">
        <f>SUMIFS(Data!$S$2:$S$1294,Data!$F$2:$F$1294,"United Kingdom",Data!$D$2:$D$1294,"2024-09")</f>
        <v>239952</v>
      </c>
      <c r="J27" s="10">
        <f>SUMIFS(Data!$T$2:$T$1294,Data!$F$2:$F$1294,"United Kingdom",Data!$D$2:$D$1294,"2024-09")</f>
        <v>193575</v>
      </c>
      <c r="K27" s="5">
        <f>SUMIFS(Data!$P$2:$P$1294,Data!$F$2:$F$1294,"United Kingdom",Data!$D$2:$D$1294,"2024-09")</f>
        <v>31595</v>
      </c>
      <c r="L27" s="23">
        <f t="shared" si="15"/>
        <v>1.80674885</v>
      </c>
    </row>
    <row r="28" ht="15.0" customHeight="1">
      <c r="A28" s="7" t="s">
        <v>56</v>
      </c>
      <c r="B28" s="8">
        <f>SUMIFS(Data!$J$2:$J$1294,Data!$F$2:$F$1294,"United Kingdom",Data!$D$2:$D$1294,"2024-10")</f>
        <v>172122</v>
      </c>
      <c r="C28" s="8">
        <f>SUMIFS(Data!$K$2:$K$1294,Data!$F$2:$F$1294,"United Kingdom",Data!$D$2:$D$1294,"2024-10")</f>
        <v>97246</v>
      </c>
      <c r="D28" s="8">
        <f>SUMIFS(Data!$L$2:$L$1294,Data!$F$2:$F$1294,"United Kingdom",Data!$D$2:$D$1294,"2024-10")</f>
        <v>47821</v>
      </c>
      <c r="E28" s="16">
        <f t="shared" si="13"/>
        <v>0.5649829772</v>
      </c>
      <c r="F28" s="16">
        <f t="shared" si="14"/>
        <v>0.2778320029</v>
      </c>
      <c r="G28" s="8">
        <f>SUMIFS(Data!$M$2:$M$1294,Data!$F$2:$F$1294,"United Kingdom",Data!$D$2:$D$1294,"2024-10")</f>
        <v>45106</v>
      </c>
      <c r="H28" s="11">
        <f>SUMIFS(Data!$R$2:$R$1294,Data!$F$2:$F$1294,"United Kingdom",Data!$D$2:$D$1294,"2024-10")</f>
        <v>446656</v>
      </c>
      <c r="I28" s="11">
        <f>SUMIFS(Data!$S$2:$S$1294,Data!$F$2:$F$1294,"United Kingdom",Data!$D$2:$D$1294,"2024-10")</f>
        <v>237929</v>
      </c>
      <c r="J28" s="11">
        <f>SUMIFS(Data!$T$2:$T$1294,Data!$F$2:$F$1294,"United Kingdom",Data!$D$2:$D$1294,"2024-10")</f>
        <v>208729</v>
      </c>
      <c r="K28" s="8">
        <f>SUMIFS(Data!$P$2:$P$1294,Data!$F$2:$F$1294,"United Kingdom",Data!$D$2:$D$1294,"2024-10")</f>
        <v>31318</v>
      </c>
      <c r="L28" s="24">
        <f t="shared" si="15"/>
        <v>1.877265907</v>
      </c>
    </row>
    <row r="29" ht="15.0" customHeight="1">
      <c r="A29" s="4" t="s">
        <v>54</v>
      </c>
      <c r="B29" s="5">
        <f>SUMIFS(Data!$J$2:$J$1294,Data!$F$2:$F$1294,"United Kingdom",Data!$D$2:$D$1294,"2024-11")</f>
        <v>138380</v>
      </c>
      <c r="C29" s="5">
        <f>SUMIFS(Data!$K$2:$K$1294,Data!$F$2:$F$1294,"United Kingdom",Data!$D$2:$D$1294,"2024-11")</f>
        <v>77015</v>
      </c>
      <c r="D29" s="5">
        <f>SUMIFS(Data!$L$2:$L$1294,Data!$F$2:$F$1294,"United Kingdom",Data!$D$2:$D$1294,"2024-11")</f>
        <v>37972</v>
      </c>
      <c r="E29" s="13">
        <f t="shared" si="13"/>
        <v>0.5565471889</v>
      </c>
      <c r="F29" s="13">
        <f t="shared" si="14"/>
        <v>0.2744038156</v>
      </c>
      <c r="G29" s="5">
        <f>SUMIFS(Data!$M$2:$M$1294,Data!$F$2:$F$1294,"United Kingdom",Data!$D$2:$D$1294,"2024-11")</f>
        <v>35835</v>
      </c>
      <c r="H29" s="10">
        <f>SUMIFS(Data!$R$2:$R$1294,Data!$F$2:$F$1294,"United Kingdom",Data!$D$2:$D$1294,"2024-11")</f>
        <v>381762</v>
      </c>
      <c r="I29" s="10">
        <f>SUMIFS(Data!$S$2:$S$1294,Data!$F$2:$F$1294,"United Kingdom",Data!$D$2:$D$1294,"2024-11")</f>
        <v>190613</v>
      </c>
      <c r="J29" s="10">
        <f>SUMIFS(Data!$T$2:$T$1294,Data!$F$2:$F$1294,"United Kingdom",Data!$D$2:$D$1294,"2024-11")</f>
        <v>191149</v>
      </c>
      <c r="K29" s="5">
        <f>SUMIFS(Data!$P$2:$P$1294,Data!$F$2:$F$1294,"United Kingdom",Data!$D$2:$D$1294,"2024-11")</f>
        <v>26134</v>
      </c>
      <c r="L29" s="23">
        <f t="shared" si="15"/>
        <v>2.00281198</v>
      </c>
    </row>
    <row r="30" ht="15.0" customHeight="1">
      <c r="A30" s="7" t="s">
        <v>50</v>
      </c>
      <c r="B30" s="8">
        <f>SUMIFS(Data!$J$2:$J$1294,Data!$F$2:$F$1294,"United Kingdom",Data!$D$2:$D$1294,"2024-12")</f>
        <v>100865</v>
      </c>
      <c r="C30" s="8">
        <f>SUMIFS(Data!$K$2:$K$1294,Data!$F$2:$F$1294,"United Kingdom",Data!$D$2:$D$1294,"2024-12")</f>
        <v>56210</v>
      </c>
      <c r="D30" s="8">
        <f>SUMIFS(Data!$L$2:$L$1294,Data!$F$2:$F$1294,"United Kingdom",Data!$D$2:$D$1294,"2024-12")</f>
        <v>28356</v>
      </c>
      <c r="E30" s="16">
        <f t="shared" si="13"/>
        <v>0.557279532</v>
      </c>
      <c r="F30" s="16">
        <f t="shared" si="14"/>
        <v>0.2811282407</v>
      </c>
      <c r="G30" s="8">
        <f>SUMIFS(Data!$M$2:$M$1294,Data!$F$2:$F$1294,"United Kingdom",Data!$D$2:$D$1294,"2024-12")</f>
        <v>26676</v>
      </c>
      <c r="H30" s="11">
        <f>SUMIFS(Data!$R$2:$R$1294,Data!$F$2:$F$1294,"United Kingdom",Data!$D$2:$D$1294,"2024-12")</f>
        <v>267395</v>
      </c>
      <c r="I30" s="11">
        <f>SUMIFS(Data!$S$2:$S$1294,Data!$F$2:$F$1294,"United Kingdom",Data!$D$2:$D$1294,"2024-12")</f>
        <v>128772</v>
      </c>
      <c r="J30" s="11">
        <f>SUMIFS(Data!$T$2:$T$1294,Data!$F$2:$F$1294,"United Kingdom",Data!$D$2:$D$1294,"2024-12")</f>
        <v>138626</v>
      </c>
      <c r="K30" s="8">
        <f>SUMIFS(Data!$P$2:$P$1294,Data!$F$2:$F$1294,"United Kingdom",Data!$D$2:$D$1294,"2024-12")</f>
        <v>18289</v>
      </c>
      <c r="L30" s="24">
        <f t="shared" si="15"/>
        <v>2.07649955</v>
      </c>
    </row>
    <row r="31" ht="15.0" customHeight="1">
      <c r="A31" s="4" t="s">
        <v>68</v>
      </c>
      <c r="B31" s="5">
        <f>SUMIFS(Data!$J$2:$J$1294,Data!$F$2:$F$1294,"United Kingdom",Data!$D$2:$D$1294,"2025-01")</f>
        <v>192020</v>
      </c>
      <c r="C31" s="5">
        <f>SUMIFS(Data!$K$2:$K$1294,Data!$F$2:$F$1294,"United Kingdom",Data!$D$2:$D$1294,"2025-01")</f>
        <v>107424</v>
      </c>
      <c r="D31" s="5">
        <f>SUMIFS(Data!$L$2:$L$1294,Data!$F$2:$F$1294,"United Kingdom",Data!$D$2:$D$1294,"2025-01")</f>
        <v>50791</v>
      </c>
      <c r="E31" s="13">
        <f t="shared" si="13"/>
        <v>0.5594417248</v>
      </c>
      <c r="F31" s="13">
        <f t="shared" si="14"/>
        <v>0.2645089053</v>
      </c>
      <c r="G31" s="5">
        <f>SUMIFS(Data!$M$2:$M$1294,Data!$F$2:$F$1294,"United Kingdom",Data!$D$2:$D$1294,"2025-01")</f>
        <v>47953</v>
      </c>
      <c r="H31" s="10">
        <f>SUMIFS(Data!$R$2:$R$1294,Data!$F$2:$F$1294,"United Kingdom",Data!$D$2:$D$1294,"2025-01")</f>
        <v>489109</v>
      </c>
      <c r="I31" s="10">
        <f>SUMIFS(Data!$S$2:$S$1294,Data!$F$2:$F$1294,"United Kingdom",Data!$D$2:$D$1294,"2025-01")</f>
        <v>266427</v>
      </c>
      <c r="J31" s="10">
        <f>SUMIFS(Data!$T$2:$T$1294,Data!$F$2:$F$1294,"United Kingdom",Data!$D$2:$D$1294,"2025-01")</f>
        <v>222682</v>
      </c>
      <c r="K31" s="5">
        <f>SUMIFS(Data!$P$2:$P$1294,Data!$F$2:$F$1294,"United Kingdom",Data!$D$2:$D$1294,"2025-01")</f>
        <v>33699</v>
      </c>
      <c r="L31" s="23">
        <f t="shared" si="15"/>
        <v>1.835808683</v>
      </c>
    </row>
    <row r="32" ht="15.0" customHeight="1">
      <c r="A32" s="7" t="s">
        <v>66</v>
      </c>
      <c r="B32" s="8">
        <f>SUMIFS(Data!$J$2:$J$1294,Data!$F$2:$F$1294,"United Kingdom",Data!$D$2:$D$1294,"2025-02")</f>
        <v>131907</v>
      </c>
      <c r="C32" s="8">
        <f>SUMIFS(Data!$K$2:$K$1294,Data!$F$2:$F$1294,"United Kingdom",Data!$D$2:$D$1294,"2025-02")</f>
        <v>73104</v>
      </c>
      <c r="D32" s="8">
        <f>SUMIFS(Data!$L$2:$L$1294,Data!$F$2:$F$1294,"United Kingdom",Data!$D$2:$D$1294,"2025-02")</f>
        <v>36130</v>
      </c>
      <c r="E32" s="16">
        <f t="shared" si="13"/>
        <v>0.554208647</v>
      </c>
      <c r="F32" s="16">
        <f t="shared" si="14"/>
        <v>0.2739050998</v>
      </c>
      <c r="G32" s="8">
        <f>SUMIFS(Data!$M$2:$M$1294,Data!$F$2:$F$1294,"United Kingdom",Data!$D$2:$D$1294,"2025-02")</f>
        <v>34159</v>
      </c>
      <c r="H32" s="11">
        <f>SUMIFS(Data!$R$2:$R$1294,Data!$F$2:$F$1294,"United Kingdom",Data!$D$2:$D$1294,"2025-02")</f>
        <v>339641</v>
      </c>
      <c r="I32" s="11">
        <f>SUMIFS(Data!$S$2:$S$1294,Data!$F$2:$F$1294,"United Kingdom",Data!$D$2:$D$1294,"2025-02")</f>
        <v>170968</v>
      </c>
      <c r="J32" s="11">
        <f>SUMIFS(Data!$T$2:$T$1294,Data!$F$2:$F$1294,"United Kingdom",Data!$D$2:$D$1294,"2025-02")</f>
        <v>168673</v>
      </c>
      <c r="K32" s="8">
        <f>SUMIFS(Data!$P$2:$P$1294,Data!$F$2:$F$1294,"United Kingdom",Data!$D$2:$D$1294,"2025-02")</f>
        <v>24109</v>
      </c>
      <c r="L32" s="24">
        <f t="shared" si="15"/>
        <v>1.986576435</v>
      </c>
    </row>
    <row r="33" ht="15.0" customHeight="1">
      <c r="A33" s="4" t="s">
        <v>73</v>
      </c>
      <c r="B33" s="5">
        <f>SUMIFS(Data!$J$2:$J$1294,Data!$F$2:$F$1294,"United Kingdom",Data!$D$2:$D$1294,"2025-03")</f>
        <v>163991</v>
      </c>
      <c r="C33" s="5">
        <f>SUMIFS(Data!$K$2:$K$1294,Data!$F$2:$F$1294,"United Kingdom",Data!$D$2:$D$1294,"2025-03")</f>
        <v>92580</v>
      </c>
      <c r="D33" s="5">
        <f>SUMIFS(Data!$L$2:$L$1294,Data!$F$2:$F$1294,"United Kingdom",Data!$D$2:$D$1294,"2025-03")</f>
        <v>47576</v>
      </c>
      <c r="E33" s="13">
        <f t="shared" si="13"/>
        <v>0.5645431761</v>
      </c>
      <c r="F33" s="13">
        <f t="shared" si="14"/>
        <v>0.2901134818</v>
      </c>
      <c r="G33" s="5">
        <f>SUMIFS(Data!$M$2:$M$1294,Data!$F$2:$F$1294,"United Kingdom",Data!$D$2:$D$1294,"2025-03")</f>
        <v>44532</v>
      </c>
      <c r="H33" s="10">
        <f>SUMIFS(Data!$R$2:$R$1294,Data!$F$2:$F$1294,"United Kingdom",Data!$D$2:$D$1294,"2025-03")</f>
        <v>396638</v>
      </c>
      <c r="I33" s="10">
        <f>SUMIFS(Data!$S$2:$S$1294,Data!$F$2:$F$1294,"United Kingdom",Data!$D$2:$D$1294,"2025-03")</f>
        <v>217626</v>
      </c>
      <c r="J33" s="10">
        <f>SUMIFS(Data!$T$2:$T$1294,Data!$F$2:$F$1294,"United Kingdom",Data!$D$2:$D$1294,"2025-03")</f>
        <v>179014</v>
      </c>
      <c r="K33" s="5">
        <f>SUMIFS(Data!$P$2:$P$1294,Data!$F$2:$F$1294,"United Kingdom",Data!$D$2:$D$1294,"2025-03")</f>
        <v>29468</v>
      </c>
      <c r="L33" s="23">
        <f t="shared" si="15"/>
        <v>1.822567156</v>
      </c>
    </row>
    <row r="34" ht="15.0" customHeight="1">
      <c r="A34" s="7" t="s">
        <v>60</v>
      </c>
      <c r="B34" s="8">
        <f>SUMIFS(Data!$J$2:$J$1294,Data!$F$2:$F$1294,"United Kingdom",Data!$D$2:$D$1294,"2025-04")</f>
        <v>151753</v>
      </c>
      <c r="C34" s="8">
        <f>SUMIFS(Data!$K$2:$K$1294,Data!$F$2:$F$1294,"United Kingdom",Data!$D$2:$D$1294,"2025-04")</f>
        <v>86036</v>
      </c>
      <c r="D34" s="8">
        <f>SUMIFS(Data!$L$2:$L$1294,Data!$F$2:$F$1294,"United Kingdom",Data!$D$2:$D$1294,"2025-04")</f>
        <v>44787</v>
      </c>
      <c r="E34" s="16">
        <f t="shared" si="13"/>
        <v>0.5669476056</v>
      </c>
      <c r="F34" s="16">
        <f t="shared" si="14"/>
        <v>0.2951309035</v>
      </c>
      <c r="G34" s="8">
        <f>SUMIFS(Data!$M$2:$M$1294,Data!$F$2:$F$1294,"United Kingdom",Data!$D$2:$D$1294,"2025-04")</f>
        <v>41909</v>
      </c>
      <c r="H34" s="11">
        <f>SUMIFS(Data!$R$2:$R$1294,Data!$F$2:$F$1294,"United Kingdom",Data!$D$2:$D$1294,"2025-04")</f>
        <v>366645</v>
      </c>
      <c r="I34" s="11">
        <f>SUMIFS(Data!$S$2:$S$1294,Data!$F$2:$F$1294,"United Kingdom",Data!$D$2:$D$1294,"2025-04")</f>
        <v>182563</v>
      </c>
      <c r="J34" s="11">
        <f>SUMIFS(Data!$T$2:$T$1294,Data!$F$2:$F$1294,"United Kingdom",Data!$D$2:$D$1294,"2025-04")</f>
        <v>184082</v>
      </c>
      <c r="K34" s="8">
        <f>SUMIFS(Data!$P$2:$P$1294,Data!$F$2:$F$1294,"United Kingdom",Data!$D$2:$D$1294,"2025-04")</f>
        <v>27760</v>
      </c>
      <c r="L34" s="24">
        <f t="shared" si="15"/>
        <v>2.008320415</v>
      </c>
    </row>
    <row r="35" ht="15.0" customHeight="1">
      <c r="A35" s="4" t="s">
        <v>75</v>
      </c>
      <c r="B35" s="5">
        <f>SUMIFS(Data!$J$2:$J$1294,Data!$F$2:$F$1294,"United Kingdom",Data!$D$2:$D$1294,"2025-05")</f>
        <v>185368</v>
      </c>
      <c r="C35" s="5">
        <f>SUMIFS(Data!$K$2:$K$1294,Data!$F$2:$F$1294,"United Kingdom",Data!$D$2:$D$1294,"2025-05")</f>
        <v>100883</v>
      </c>
      <c r="D35" s="5">
        <f>SUMIFS(Data!$L$2:$L$1294,Data!$F$2:$F$1294,"United Kingdom",Data!$D$2:$D$1294,"2025-05")</f>
        <v>53148</v>
      </c>
      <c r="E35" s="13">
        <f t="shared" si="13"/>
        <v>0.5442309352</v>
      </c>
      <c r="F35" s="13">
        <f t="shared" si="14"/>
        <v>0.2867161538</v>
      </c>
      <c r="G35" s="5">
        <f>SUMIFS(Data!$M$2:$M$1294,Data!$F$2:$F$1294,"United Kingdom",Data!$D$2:$D$1294,"2025-05")</f>
        <v>49800</v>
      </c>
      <c r="H35" s="10">
        <f>SUMIFS(Data!$R$2:$R$1294,Data!$F$2:$F$1294,"United Kingdom",Data!$D$2:$D$1294,"2025-05")</f>
        <v>398711</v>
      </c>
      <c r="I35" s="10">
        <f>SUMIFS(Data!$S$2:$S$1294,Data!$F$2:$F$1294,"United Kingdom",Data!$D$2:$D$1294,"2025-05")</f>
        <v>234907</v>
      </c>
      <c r="J35" s="10">
        <f>SUMIFS(Data!$T$2:$T$1294,Data!$F$2:$F$1294,"United Kingdom",Data!$D$2:$D$1294,"2025-05")</f>
        <v>163805</v>
      </c>
      <c r="K35" s="5">
        <f>SUMIFS(Data!$P$2:$P$1294,Data!$F$2:$F$1294,"United Kingdom",Data!$D$2:$D$1294,"2025-05")</f>
        <v>30198</v>
      </c>
      <c r="L35" s="23">
        <f t="shared" si="15"/>
        <v>1.697314256</v>
      </c>
    </row>
    <row r="36" ht="15.0" customHeight="1">
      <c r="A36" s="7" t="s">
        <v>71</v>
      </c>
      <c r="B36" s="8">
        <f>SUMIFS(Data!$J$2:$J$1294,Data!$F$2:$F$1294,"United Kingdom",Data!$D$2:$D$1294,"2025-06")</f>
        <v>203308</v>
      </c>
      <c r="C36" s="8">
        <f>SUMIFS(Data!$K$2:$K$1294,Data!$F$2:$F$1294,"United Kingdom",Data!$D$2:$D$1294,"2025-06")</f>
        <v>105754</v>
      </c>
      <c r="D36" s="8">
        <f>SUMIFS(Data!$L$2:$L$1294,Data!$F$2:$F$1294,"United Kingdom",Data!$D$2:$D$1294,"2025-06")</f>
        <v>56689</v>
      </c>
      <c r="E36" s="16">
        <f t="shared" si="13"/>
        <v>0.520166447</v>
      </c>
      <c r="F36" s="16">
        <f t="shared" si="14"/>
        <v>0.2788331005</v>
      </c>
      <c r="G36" s="8">
        <f>SUMIFS(Data!$M$2:$M$1294,Data!$F$2:$F$1294,"United Kingdom",Data!$D$2:$D$1294,"2025-06")</f>
        <v>53392</v>
      </c>
      <c r="H36" s="11">
        <f>SUMIFS(Data!$R$2:$R$1294,Data!$F$2:$F$1294,"United Kingdom",Data!$D$2:$D$1294,"2025-06")</f>
        <v>395161</v>
      </c>
      <c r="I36" s="11">
        <f>SUMIFS(Data!$S$2:$S$1294,Data!$F$2:$F$1294,"United Kingdom",Data!$D$2:$D$1294,"2025-06")</f>
        <v>222866</v>
      </c>
      <c r="J36" s="11">
        <f>SUMIFS(Data!$T$2:$T$1294,Data!$F$2:$F$1294,"United Kingdom",Data!$D$2:$D$1294,"2025-06")</f>
        <v>172292</v>
      </c>
      <c r="K36" s="8">
        <f>SUMIFS(Data!$P$2:$P$1294,Data!$F$2:$F$1294,"United Kingdom",Data!$D$2:$D$1294,"2025-06")</f>
        <v>29734</v>
      </c>
      <c r="L36" s="24">
        <f t="shared" si="15"/>
        <v>1.773087864</v>
      </c>
    </row>
    <row r="37" ht="15.0" customHeight="1">
      <c r="A37" s="4" t="s">
        <v>69</v>
      </c>
      <c r="B37" s="5">
        <f>SUMIFS(Data!$J$2:$J$1294,Data!$F$2:$F$1294,"United Kingdom",Data!$D$2:$D$1294,"2025-07")</f>
        <v>205624</v>
      </c>
      <c r="C37" s="5">
        <f>SUMIFS(Data!$K$2:$K$1294,Data!$F$2:$F$1294,"United Kingdom",Data!$D$2:$D$1294,"2025-07")</f>
        <v>105547</v>
      </c>
      <c r="D37" s="5">
        <f>SUMIFS(Data!$L$2:$L$1294,Data!$F$2:$F$1294,"United Kingdom",Data!$D$2:$D$1294,"2025-07")</f>
        <v>58635</v>
      </c>
      <c r="E37" s="13">
        <f t="shared" si="13"/>
        <v>0.5133009765</v>
      </c>
      <c r="F37" s="13">
        <f t="shared" si="14"/>
        <v>0.285156402</v>
      </c>
      <c r="G37" s="5">
        <f>SUMIFS(Data!$M$2:$M$1294,Data!$F$2:$F$1294,"United Kingdom",Data!$D$2:$D$1294,"2025-07")</f>
        <v>53129</v>
      </c>
      <c r="H37" s="10">
        <f>SUMIFS(Data!$R$2:$R$1294,Data!$F$2:$F$1294,"United Kingdom",Data!$D$2:$D$1294,"2025-07")</f>
        <v>409479</v>
      </c>
      <c r="I37" s="10">
        <f>SUMIFS(Data!$S$2:$S$1294,Data!$F$2:$F$1294,"United Kingdom",Data!$D$2:$D$1294,"2025-07")</f>
        <v>231466</v>
      </c>
      <c r="J37" s="10">
        <f>SUMIFS(Data!$T$2:$T$1294,Data!$F$2:$F$1294,"United Kingdom",Data!$D$2:$D$1294,"2025-07")</f>
        <v>178020</v>
      </c>
      <c r="K37" s="5">
        <f>SUMIFS(Data!$P$2:$P$1294,Data!$F$2:$F$1294,"United Kingdom",Data!$D$2:$D$1294,"2025-07")</f>
        <v>29515</v>
      </c>
      <c r="L37" s="23">
        <f t="shared" si="15"/>
        <v>1.769067595</v>
      </c>
    </row>
    <row r="38" ht="15.0" customHeight="1">
      <c r="A38" s="7" t="s">
        <v>62</v>
      </c>
      <c r="B38" s="8">
        <f>SUMIFS(Data!$J$2:$J$1294,Data!$F$2:$F$1294,"United Kingdom",Data!$D$2:$D$1294,"2025-08")</f>
        <v>207841</v>
      </c>
      <c r="C38" s="8">
        <f>SUMIFS(Data!$K$2:$K$1294,Data!$F$2:$F$1294,"United Kingdom",Data!$D$2:$D$1294,"2025-08")</f>
        <v>92638</v>
      </c>
      <c r="D38" s="8">
        <f>SUMIFS(Data!$L$2:$L$1294,Data!$F$2:$F$1294,"United Kingdom",Data!$D$2:$D$1294,"2025-08")</f>
        <v>49167</v>
      </c>
      <c r="E38" s="16">
        <f t="shared" si="13"/>
        <v>0.4457157154</v>
      </c>
      <c r="F38" s="16">
        <f t="shared" si="14"/>
        <v>0.2365606401</v>
      </c>
      <c r="G38" s="8">
        <f>SUMIFS(Data!$M$2:$M$1294,Data!$F$2:$F$1294,"United Kingdom",Data!$D$2:$D$1294,"2025-08")</f>
        <v>45955</v>
      </c>
      <c r="H38" s="11">
        <f>SUMIFS(Data!$R$2:$R$1294,Data!$F$2:$F$1294,"United Kingdom",Data!$D$2:$D$1294,"2025-08")</f>
        <v>352761</v>
      </c>
      <c r="I38" s="11">
        <f>SUMIFS(Data!$S$2:$S$1294,Data!$F$2:$F$1294,"United Kingdom",Data!$D$2:$D$1294,"2025-08")</f>
        <v>196920</v>
      </c>
      <c r="J38" s="11">
        <f>SUMIFS(Data!$T$2:$T$1294,Data!$F$2:$F$1294,"United Kingdom",Data!$D$2:$D$1294,"2025-08")</f>
        <v>155841</v>
      </c>
      <c r="K38" s="8">
        <f>SUMIFS(Data!$P$2:$P$1294,Data!$F$2:$F$1294,"United Kingdom",Data!$D$2:$D$1294,"2025-08")</f>
        <v>24379</v>
      </c>
      <c r="L38" s="24">
        <f t="shared" si="15"/>
        <v>1.791392444</v>
      </c>
    </row>
    <row r="39" ht="15.0" customHeight="1">
      <c r="A39" s="4" t="s">
        <v>78</v>
      </c>
      <c r="B39" s="5">
        <f>SUMIFS(Data!$J$2:$J$1294,Data!$F$2:$F$1294,"United Kingdom",Data!$D$2:$D$1294,"2025-09")</f>
        <v>229538</v>
      </c>
      <c r="C39" s="5">
        <f>SUMIFS(Data!$K$2:$K$1294,Data!$F$2:$F$1294,"United Kingdom",Data!$D$2:$D$1294,"2025-09")</f>
        <v>93713</v>
      </c>
      <c r="D39" s="5">
        <f>SUMIFS(Data!$L$2:$L$1294,Data!$F$2:$F$1294,"United Kingdom",Data!$D$2:$D$1294,"2025-09")</f>
        <v>49207</v>
      </c>
      <c r="E39" s="13">
        <f t="shared" si="13"/>
        <v>0.4082679121</v>
      </c>
      <c r="F39" s="13">
        <f t="shared" si="14"/>
        <v>0.2143740906</v>
      </c>
      <c r="G39" s="5">
        <f>SUMIFS(Data!$M$2:$M$1294,Data!$F$2:$F$1294,"United Kingdom",Data!$D$2:$D$1294,"2025-09")</f>
        <v>45863</v>
      </c>
      <c r="H39" s="10">
        <f>SUMIFS(Data!$R$2:$R$1294,Data!$F$2:$F$1294,"United Kingdom",Data!$D$2:$D$1294,"2025-09")</f>
        <v>385448</v>
      </c>
      <c r="I39" s="10">
        <f>SUMIFS(Data!$S$2:$S$1294,Data!$F$2:$F$1294,"United Kingdom",Data!$D$2:$D$1294,"2025-09")</f>
        <v>218660</v>
      </c>
      <c r="J39" s="10">
        <f>SUMIFS(Data!$T$2:$T$1294,Data!$F$2:$F$1294,"United Kingdom",Data!$D$2:$D$1294,"2025-09")</f>
        <v>166790</v>
      </c>
      <c r="K39" s="5">
        <f>SUMIFS(Data!$P$2:$P$1294,Data!$F$2:$F$1294,"United Kingdom",Data!$D$2:$D$1294,"2025-09")</f>
        <v>25764</v>
      </c>
      <c r="L39" s="23">
        <f t="shared" si="15"/>
        <v>1.762773255</v>
      </c>
    </row>
    <row r="40" ht="15.0" customHeight="1">
      <c r="A40" s="7" t="s">
        <v>77</v>
      </c>
      <c r="B40" s="8">
        <f>SUMIFS(Data!$J$2:$J$1294,Data!$F$2:$F$1294,"United Kingdom",Data!$D$2:$D$1294,"2025-10")</f>
        <v>203678</v>
      </c>
      <c r="C40" s="8">
        <f>SUMIFS(Data!$K$2:$K$1294,Data!$F$2:$F$1294,"United Kingdom",Data!$D$2:$D$1294,"2025-10")</f>
        <v>84008</v>
      </c>
      <c r="D40" s="8">
        <f>SUMIFS(Data!$L$2:$L$1294,Data!$F$2:$F$1294,"United Kingdom",Data!$D$2:$D$1294,"2025-10")</f>
        <v>43724</v>
      </c>
      <c r="E40" s="16">
        <f t="shared" si="13"/>
        <v>0.4124549534</v>
      </c>
      <c r="F40" s="16">
        <f t="shared" si="14"/>
        <v>0.2146721786</v>
      </c>
      <c r="G40" s="8">
        <f>SUMIFS(Data!$M$2:$M$1294,Data!$F$2:$F$1294,"United Kingdom",Data!$D$2:$D$1294,"2025-10")</f>
        <v>40772</v>
      </c>
      <c r="H40" s="11">
        <f>SUMIFS(Data!$R$2:$R$1294,Data!$F$2:$F$1294,"United Kingdom",Data!$D$2:$D$1294,"2025-10")</f>
        <v>383923</v>
      </c>
      <c r="I40" s="11">
        <f>SUMIFS(Data!$S$2:$S$1294,Data!$F$2:$F$1294,"United Kingdom",Data!$D$2:$D$1294,"2025-10")</f>
        <v>208595</v>
      </c>
      <c r="J40" s="11">
        <f>SUMIFS(Data!$T$2:$T$1294,Data!$F$2:$F$1294,"United Kingdom",Data!$D$2:$D$1294,"2025-10")</f>
        <v>175332</v>
      </c>
      <c r="K40" s="8">
        <f>SUMIFS(Data!$P$2:$P$1294,Data!$F$2:$F$1294,"United Kingdom",Data!$D$2:$D$1294,"2025-10")</f>
        <v>24900</v>
      </c>
      <c r="L40" s="24">
        <f t="shared" si="15"/>
        <v>1.840518709</v>
      </c>
    </row>
    <row r="41" ht="15.0" customHeight="1">
      <c r="A41" s="4" t="s">
        <v>76</v>
      </c>
      <c r="B41" s="5">
        <f>SUMIFS(Data!$J$2:$J$1294,Data!$F$2:$F$1294,"United Kingdom",Data!$D$2:$D$1294,"2025-11")</f>
        <v>136805</v>
      </c>
      <c r="C41" s="5">
        <f>SUMIFS(Data!$K$2:$K$1294,Data!$F$2:$F$1294,"United Kingdom",Data!$D$2:$D$1294,"2025-11")</f>
        <v>72126</v>
      </c>
      <c r="D41" s="5">
        <f>SUMIFS(Data!$L$2:$L$1294,Data!$F$2:$F$1294,"United Kingdom",Data!$D$2:$D$1294,"2025-11")</f>
        <v>36880</v>
      </c>
      <c r="E41" s="13">
        <f t="shared" si="13"/>
        <v>0.5272175725</v>
      </c>
      <c r="F41" s="13">
        <f t="shared" si="14"/>
        <v>0.2695807902</v>
      </c>
      <c r="G41" s="5">
        <f>SUMIFS(Data!$M$2:$M$1294,Data!$F$2:$F$1294,"United Kingdom",Data!$D$2:$D$1294,"2025-11")</f>
        <v>34388</v>
      </c>
      <c r="H41" s="10">
        <f>SUMIFS(Data!$R$2:$R$1294,Data!$F$2:$F$1294,"United Kingdom",Data!$D$2:$D$1294,"2025-11")</f>
        <v>339557</v>
      </c>
      <c r="I41" s="10">
        <f>SUMIFS(Data!$S$2:$S$1294,Data!$F$2:$F$1294,"United Kingdom",Data!$D$2:$D$1294,"2025-11")</f>
        <v>169930</v>
      </c>
      <c r="J41" s="10">
        <f>SUMIFS(Data!$T$2:$T$1294,Data!$F$2:$F$1294,"United Kingdom",Data!$D$2:$D$1294,"2025-11")</f>
        <v>169627</v>
      </c>
      <c r="K41" s="5">
        <f>SUMIFS(Data!$P$2:$P$1294,Data!$F$2:$F$1294,"United Kingdom",Data!$D$2:$D$1294,"2025-11")</f>
        <v>21817</v>
      </c>
      <c r="L41" s="23">
        <f t="shared" si="15"/>
        <v>1.998216913</v>
      </c>
    </row>
    <row r="42" ht="15.0" customHeight="1">
      <c r="A42" s="7" t="s">
        <v>64</v>
      </c>
      <c r="B42" s="8">
        <f>SUMIFS(Data!$J$2:$J$1294,Data!$F$2:$F$1294,"United Kingdom",Data!$D$2:$D$1294,"2025-12")</f>
        <v>94134</v>
      </c>
      <c r="C42" s="8">
        <f>SUMIFS(Data!$K$2:$K$1294,Data!$F$2:$F$1294,"United Kingdom",Data!$D$2:$D$1294,"2025-12")</f>
        <v>49550</v>
      </c>
      <c r="D42" s="8">
        <f>SUMIFS(Data!$L$2:$L$1294,Data!$F$2:$F$1294,"United Kingdom",Data!$D$2:$D$1294,"2025-12")</f>
        <v>25373</v>
      </c>
      <c r="E42" s="16">
        <f t="shared" si="13"/>
        <v>0.5263772919</v>
      </c>
      <c r="F42" s="16">
        <f t="shared" si="14"/>
        <v>0.2695412922</v>
      </c>
      <c r="G42" s="8">
        <f>SUMIFS(Data!$M$2:$M$1294,Data!$F$2:$F$1294,"United Kingdom",Data!$D$2:$D$1294,"2025-12")</f>
        <v>23454</v>
      </c>
      <c r="H42" s="11">
        <f>SUMIFS(Data!$R$2:$R$1294,Data!$F$2:$F$1294,"United Kingdom",Data!$D$2:$D$1294,"2025-12")</f>
        <v>208522</v>
      </c>
      <c r="I42" s="11">
        <f>SUMIFS(Data!$S$2:$S$1294,Data!$F$2:$F$1294,"United Kingdom",Data!$D$2:$D$1294,"2025-12")</f>
        <v>102519</v>
      </c>
      <c r="J42" s="11">
        <f>SUMIFS(Data!$T$2:$T$1294,Data!$F$2:$F$1294,"United Kingdom",Data!$D$2:$D$1294,"2025-12")</f>
        <v>106008</v>
      </c>
      <c r="K42" s="8">
        <f>SUMIFS(Data!$P$2:$P$1294,Data!$F$2:$F$1294,"United Kingdom",Data!$D$2:$D$1294,"2025-12")</f>
        <v>13326</v>
      </c>
      <c r="L42" s="24">
        <f t="shared" si="15"/>
        <v>2.033983944</v>
      </c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23.25" customHeight="1">
      <c r="A78" s="25" t="s">
        <v>109</v>
      </c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</row>
  </sheetData>
  <mergeCells count="2">
    <mergeCell ref="A1:F1"/>
    <mergeCell ref="A78:L78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8604C"/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10" width="16.0"/>
    <col customWidth="1" min="11" max="26" width="8.71"/>
  </cols>
  <sheetData>
    <row r="1" ht="19.5" customHeight="1">
      <c r="A1" s="3" t="s">
        <v>110</v>
      </c>
    </row>
    <row r="2">
      <c r="A2" s="2"/>
      <c r="B2" s="2"/>
      <c r="C2" s="2"/>
      <c r="D2" s="2"/>
      <c r="E2" s="2"/>
      <c r="F2" s="2"/>
      <c r="G2" s="2"/>
      <c r="H2" s="2"/>
      <c r="I2" s="2"/>
      <c r="J2" s="2"/>
    </row>
    <row r="3" ht="15.0" customHeight="1">
      <c r="A3" s="1" t="s">
        <v>80</v>
      </c>
      <c r="B3" s="1" t="s">
        <v>111</v>
      </c>
      <c r="C3" s="1" t="s">
        <v>112</v>
      </c>
      <c r="D3" s="1" t="s">
        <v>113</v>
      </c>
      <c r="E3" s="1" t="s">
        <v>114</v>
      </c>
      <c r="F3" s="1" t="s">
        <v>115</v>
      </c>
      <c r="G3" s="1" t="s">
        <v>116</v>
      </c>
      <c r="H3" s="1" t="s">
        <v>117</v>
      </c>
      <c r="I3" s="1" t="s">
        <v>118</v>
      </c>
      <c r="J3" s="1" t="s">
        <v>119</v>
      </c>
    </row>
    <row r="4" ht="15.0" customHeight="1">
      <c r="A4" s="4" t="s">
        <v>101</v>
      </c>
      <c r="B4" s="5">
        <f>SUMIFS(Data!$J$2:$J$1294,Data!$F$2:$F$1294,"United Kingdom",Data!$E$2:$E$1294,"H2 2024",Data!$I$2:$I$1294,"Channel 1")</f>
        <v>653242</v>
      </c>
      <c r="C4" s="5">
        <f>SUMIFS(Data!$J$2:$J$1294,Data!$F$2:$F$1294,"United Kingdom",Data!$E$2:$E$1294,"H2 2025",Data!$I$2:$I$1294,"Channel 1")</f>
        <v>494375</v>
      </c>
      <c r="D4" s="6">
        <f t="shared" ref="D4:D11" si="1">IF(B4=0,"N/A",C4/B4-1)</f>
        <v>-0.2431977736</v>
      </c>
      <c r="E4" s="5">
        <f>SUMIFS(Data!$J$2:$J$1294,Data!$F$2:$F$1294,"United Kingdom",Data!$E$2:$E$1294,"H2 2024",Data!$I$2:$I$1294,"Channel 2")</f>
        <v>165972</v>
      </c>
      <c r="F4" s="5">
        <f>SUMIFS(Data!$J$2:$J$1294,Data!$F$2:$F$1294,"United Kingdom",Data!$E$2:$E$1294,"H2 2025",Data!$I$2:$I$1294,"Channel 2")</f>
        <v>378058</v>
      </c>
      <c r="G4" s="6">
        <f t="shared" ref="G4:G11" si="2">IF(E4=0,"N/A",F4/E4-1)</f>
        <v>1.277842046</v>
      </c>
      <c r="H4" s="5">
        <f>SUMIFS(Data!$J$2:$J$1294,Data!$F$2:$F$1294,"United Kingdom",Data!$E$2:$E$1294,"H2 2024",Data!$I$2:$I$1294,"Channel 3")</f>
        <v>166102</v>
      </c>
      <c r="I4" s="5">
        <f>SUMIFS(Data!$J$2:$J$1294,Data!$F$2:$F$1294,"United Kingdom",Data!$E$2:$E$1294,"H2 2025",Data!$I$2:$I$1294,"Channel 3")</f>
        <v>205187</v>
      </c>
      <c r="J4" s="6">
        <f t="shared" ref="J4:J11" si="3">IF(H4=0,"N/A",I4/H4-1)</f>
        <v>0.2353072209</v>
      </c>
    </row>
    <row r="5" ht="15.0" customHeight="1">
      <c r="A5" s="7" t="s">
        <v>102</v>
      </c>
      <c r="B5" s="8">
        <f>SUMIFS(Data!$K$2:$K$1294,Data!$F$2:$F$1294,"United Kingdom",Data!$E$2:$E$1294,"H2 2024",Data!$I$2:$I$1294,"Channel 1")</f>
        <v>388138</v>
      </c>
      <c r="C5" s="8">
        <f>SUMIFS(Data!$K$2:$K$1294,Data!$F$2:$F$1294,"United Kingdom",Data!$E$2:$E$1294,"H2 2025",Data!$I$2:$I$1294,"Channel 1")</f>
        <v>278125</v>
      </c>
      <c r="D5" s="9">
        <f t="shared" si="1"/>
        <v>-0.2834378494</v>
      </c>
      <c r="E5" s="8">
        <f>SUMIFS(Data!$K$2:$K$1294,Data!$F$2:$F$1294,"United Kingdom",Data!$E$2:$E$1294,"H2 2024",Data!$I$2:$I$1294,"Channel 2")</f>
        <v>75909</v>
      </c>
      <c r="F5" s="8">
        <f>SUMIFS(Data!$K$2:$K$1294,Data!$F$2:$F$1294,"United Kingdom",Data!$E$2:$E$1294,"H2 2025",Data!$I$2:$I$1294,"Channel 2")</f>
        <v>114443</v>
      </c>
      <c r="G5" s="9">
        <f t="shared" si="2"/>
        <v>0.5076341409</v>
      </c>
      <c r="H5" s="8">
        <f>SUMIFS(Data!$K$2:$K$1294,Data!$F$2:$F$1294,"United Kingdom",Data!$E$2:$E$1294,"H2 2024",Data!$I$2:$I$1294,"Channel 3")</f>
        <v>101030</v>
      </c>
      <c r="I5" s="8">
        <f>SUMIFS(Data!$K$2:$K$1294,Data!$F$2:$F$1294,"United Kingdom",Data!$E$2:$E$1294,"H2 2025",Data!$I$2:$I$1294,"Channel 3")</f>
        <v>105014</v>
      </c>
      <c r="J5" s="9">
        <f t="shared" si="3"/>
        <v>0.03943383154</v>
      </c>
    </row>
    <row r="6" ht="15.0" customHeight="1">
      <c r="A6" s="4" t="s">
        <v>85</v>
      </c>
      <c r="B6" s="5">
        <f>SUMIFS(Data!$L$2:$L$1294,Data!$F$2:$F$1294,"United Kingdom",Data!$E$2:$E$1294,"H2 2024",Data!$I$2:$I$1294,"Channel 1")</f>
        <v>187771</v>
      </c>
      <c r="C6" s="5">
        <f>SUMIFS(Data!$L$2:$L$1294,Data!$F$2:$F$1294,"United Kingdom",Data!$E$2:$E$1294,"H2 2025",Data!$I$2:$I$1294,"Channel 1")</f>
        <v>138364</v>
      </c>
      <c r="D6" s="6">
        <f t="shared" si="1"/>
        <v>-0.2631236985</v>
      </c>
      <c r="E6" s="5">
        <f>SUMIFS(Data!$L$2:$L$1294,Data!$F$2:$F$1294,"United Kingdom",Data!$E$2:$E$1294,"H2 2024",Data!$I$2:$I$1294,"Channel 2")</f>
        <v>34844</v>
      </c>
      <c r="F6" s="5">
        <f>SUMIFS(Data!$L$2:$L$1294,Data!$F$2:$F$1294,"United Kingdom",Data!$E$2:$E$1294,"H2 2025",Data!$I$2:$I$1294,"Channel 2")</f>
        <v>53869</v>
      </c>
      <c r="G6" s="6">
        <f t="shared" si="2"/>
        <v>0.5460050511</v>
      </c>
      <c r="H6" s="5">
        <f>SUMIFS(Data!$L$2:$L$1294,Data!$F$2:$F$1294,"United Kingdom",Data!$E$2:$E$1294,"H2 2024",Data!$I$2:$I$1294,"Channel 3")</f>
        <v>65979</v>
      </c>
      <c r="I6" s="5">
        <f>SUMIFS(Data!$L$2:$L$1294,Data!$F$2:$F$1294,"United Kingdom",Data!$E$2:$E$1294,"H2 2025",Data!$I$2:$I$1294,"Channel 3")</f>
        <v>70753</v>
      </c>
      <c r="J6" s="6">
        <f t="shared" si="3"/>
        <v>0.07235635581</v>
      </c>
    </row>
    <row r="7" ht="15.0" customHeight="1">
      <c r="A7" s="7" t="s">
        <v>104</v>
      </c>
      <c r="B7" s="8">
        <f>SUMIFS(Data!$M$2:$M$1294,Data!$F$2:$F$1294,"United Kingdom",Data!$E$2:$E$1294,"H2 2024",Data!$I$2:$I$1294,"Channel 1")</f>
        <v>179244</v>
      </c>
      <c r="C7" s="8">
        <f>SUMIFS(Data!$M$2:$M$1294,Data!$F$2:$F$1294,"United Kingdom",Data!$E$2:$E$1294,"H2 2025",Data!$I$2:$I$1294,"Channel 1")</f>
        <v>131482</v>
      </c>
      <c r="D7" s="9">
        <f t="shared" si="1"/>
        <v>-0.2664635915</v>
      </c>
      <c r="E7" s="8">
        <f>SUMIFS(Data!$M$2:$M$1294,Data!$F$2:$F$1294,"United Kingdom",Data!$E$2:$E$1294,"H2 2024",Data!$I$2:$I$1294,"Channel 2")</f>
        <v>33259</v>
      </c>
      <c r="F7" s="8">
        <f>SUMIFS(Data!$M$2:$M$1294,Data!$F$2:$F$1294,"United Kingdom",Data!$E$2:$E$1294,"H2 2025",Data!$I$2:$I$1294,"Channel 2")</f>
        <v>51152</v>
      </c>
      <c r="G7" s="9">
        <f t="shared" si="2"/>
        <v>0.5379897171</v>
      </c>
      <c r="H7" s="8">
        <f>SUMIFS(Data!$M$2:$M$1294,Data!$F$2:$F$1294,"United Kingdom",Data!$E$2:$E$1294,"H2 2024",Data!$I$2:$I$1294,"Channel 3")</f>
        <v>59909</v>
      </c>
      <c r="I7" s="8">
        <f>SUMIFS(Data!$M$2:$M$1294,Data!$F$2:$F$1294,"United Kingdom",Data!$E$2:$E$1294,"H2 2025",Data!$I$2:$I$1294,"Channel 3")</f>
        <v>60927</v>
      </c>
      <c r="J7" s="9">
        <f t="shared" si="3"/>
        <v>0.01699243853</v>
      </c>
    </row>
    <row r="8" ht="15.0" customHeight="1">
      <c r="A8" s="4" t="s">
        <v>88</v>
      </c>
      <c r="B8" s="5">
        <f>SUMIFS(Data!$P$2:$P$1294,Data!$F$2:$F$1294,"United Kingdom",Data!$E$2:$E$1294,"H2 2024",Data!$I$2:$I$1294,"Channel 1")</f>
        <v>120106</v>
      </c>
      <c r="C8" s="5">
        <f>SUMIFS(Data!$P$2:$P$1294,Data!$F$2:$F$1294,"United Kingdom",Data!$E$2:$E$1294,"H2 2025",Data!$I$2:$I$1294,"Channel 1")</f>
        <v>77776</v>
      </c>
      <c r="D8" s="6">
        <f t="shared" si="1"/>
        <v>-0.3524386792</v>
      </c>
      <c r="E8" s="5">
        <f>SUMIFS(Data!$P$2:$P$1294,Data!$F$2:$F$1294,"United Kingdom",Data!$E$2:$E$1294,"H2 2024",Data!$I$2:$I$1294,"Channel 2")</f>
        <v>21356</v>
      </c>
      <c r="F8" s="5">
        <f>SUMIFS(Data!$P$2:$P$1294,Data!$F$2:$F$1294,"United Kingdom",Data!$E$2:$E$1294,"H2 2025",Data!$I$2:$I$1294,"Channel 2")</f>
        <v>28300</v>
      </c>
      <c r="G8" s="6">
        <f t="shared" si="2"/>
        <v>0.3251545233</v>
      </c>
      <c r="H8" s="5">
        <f>SUMIFS(Data!$P$2:$P$1294,Data!$F$2:$F$1294,"United Kingdom",Data!$E$2:$E$1294,"H2 2024",Data!$I$2:$I$1294,"Channel 3")</f>
        <v>36366</v>
      </c>
      <c r="I8" s="5">
        <f>SUMIFS(Data!$P$2:$P$1294,Data!$F$2:$F$1294,"United Kingdom",Data!$E$2:$E$1294,"H2 2025",Data!$I$2:$I$1294,"Channel 3")</f>
        <v>33625</v>
      </c>
      <c r="J8" s="6">
        <f t="shared" si="3"/>
        <v>-0.07537260078</v>
      </c>
    </row>
    <row r="9" ht="15.0" customHeight="1">
      <c r="A9" s="7" t="s">
        <v>89</v>
      </c>
      <c r="B9" s="11">
        <f>SUMIFS(Data!$R$2:$R$1294,Data!$F$2:$F$1294,"United Kingdom",Data!$E$2:$E$1294,"H2 2024",Data!$I$2:$I$1294,"Channel 1")</f>
        <v>1782192</v>
      </c>
      <c r="C9" s="11">
        <f>SUMIFS(Data!$R$2:$R$1294,Data!$F$2:$F$1294,"United Kingdom",Data!$E$2:$E$1294,"H2 2025",Data!$I$2:$I$1294,"Channel 1")</f>
        <v>1304413</v>
      </c>
      <c r="D9" s="9">
        <f t="shared" si="1"/>
        <v>-0.2680850324</v>
      </c>
      <c r="E9" s="11">
        <f>SUMIFS(Data!$R$2:$R$1294,Data!$F$2:$F$1294,"United Kingdom",Data!$E$2:$E$1294,"H2 2024",Data!$I$2:$I$1294,"Channel 2")</f>
        <v>299857</v>
      </c>
      <c r="F9" s="11">
        <f>SUMIFS(Data!$R$2:$R$1294,Data!$F$2:$F$1294,"United Kingdom",Data!$E$2:$E$1294,"H2 2025",Data!$I$2:$I$1294,"Channel 2")</f>
        <v>373718</v>
      </c>
      <c r="G9" s="9">
        <f t="shared" si="2"/>
        <v>0.2463207462</v>
      </c>
      <c r="H9" s="11">
        <f>SUMIFS(Data!$R$2:$R$1294,Data!$F$2:$F$1294,"United Kingdom",Data!$E$2:$E$1294,"H2 2024",Data!$I$2:$I$1294,"Channel 3")</f>
        <v>413260</v>
      </c>
      <c r="I9" s="11">
        <f>SUMIFS(Data!$R$2:$R$1294,Data!$F$2:$F$1294,"United Kingdom",Data!$E$2:$E$1294,"H2 2025",Data!$I$2:$I$1294,"Channel 3")</f>
        <v>401559</v>
      </c>
      <c r="J9" s="9">
        <f t="shared" si="3"/>
        <v>-0.0283138944</v>
      </c>
    </row>
    <row r="10" ht="15.0" customHeight="1">
      <c r="A10" s="4" t="s">
        <v>90</v>
      </c>
      <c r="B10" s="10">
        <f>SUMIFS(Data!$S$2:$S$1294,Data!$F$2:$F$1294,"United Kingdom",Data!$E$2:$E$1294,"H2 2024",Data!$I$2:$I$1294,"Channel 1")</f>
        <v>1086628</v>
      </c>
      <c r="C10" s="10">
        <f>SUMIFS(Data!$S$2:$S$1294,Data!$F$2:$F$1294,"United Kingdom",Data!$E$2:$E$1294,"H2 2025",Data!$I$2:$I$1294,"Channel 1")</f>
        <v>820690</v>
      </c>
      <c r="D10" s="6">
        <f t="shared" si="1"/>
        <v>-0.2447369293</v>
      </c>
      <c r="E10" s="10">
        <f>SUMIFS(Data!$S$2:$S$1294,Data!$F$2:$F$1294,"United Kingdom",Data!$E$2:$E$1294,"H2 2024",Data!$I$2:$I$1294,"Channel 2")</f>
        <v>199387</v>
      </c>
      <c r="F10" s="10">
        <f>SUMIFS(Data!$S$2:$S$1294,Data!$F$2:$F$1294,"United Kingdom",Data!$E$2:$E$1294,"H2 2025",Data!$I$2:$I$1294,"Channel 2")</f>
        <v>293107</v>
      </c>
      <c r="G10" s="6">
        <f t="shared" si="2"/>
        <v>0.4700406747</v>
      </c>
      <c r="H10" s="10">
        <f>SUMIFS(Data!$S$2:$S$1294,Data!$F$2:$F$1294,"United Kingdom",Data!$E$2:$E$1294,"H2 2024",Data!$I$2:$I$1294,"Channel 3")</f>
        <v>23459</v>
      </c>
      <c r="I10" s="10">
        <f>SUMIFS(Data!$S$2:$S$1294,Data!$F$2:$F$1294,"United Kingdom",Data!$E$2:$E$1294,"H2 2025",Data!$I$2:$I$1294,"Channel 3")</f>
        <v>14293</v>
      </c>
      <c r="J10" s="6">
        <f t="shared" si="3"/>
        <v>-0.3907242423</v>
      </c>
    </row>
    <row r="11" ht="15.0" customHeight="1">
      <c r="A11" s="7" t="s">
        <v>91</v>
      </c>
      <c r="B11" s="11">
        <f>SUMIFS(Data!$T$2:$T$1294,Data!$F$2:$F$1294,"United Kingdom",Data!$E$2:$E$1294,"H2 2024",Data!$I$2:$I$1294,"Channel 1")</f>
        <v>695568</v>
      </c>
      <c r="C11" s="11">
        <f>SUMIFS(Data!$T$2:$T$1294,Data!$F$2:$F$1294,"United Kingdom",Data!$E$2:$E$1294,"H2 2025",Data!$I$2:$I$1294,"Channel 1")</f>
        <v>483730</v>
      </c>
      <c r="D11" s="9">
        <f t="shared" si="1"/>
        <v>-0.304553976</v>
      </c>
      <c r="E11" s="11">
        <f>SUMIFS(Data!$T$2:$T$1294,Data!$F$2:$F$1294,"United Kingdom",Data!$E$2:$E$1294,"H2 2024",Data!$I$2:$I$1294,"Channel 2")</f>
        <v>100472</v>
      </c>
      <c r="F11" s="11">
        <f>SUMIFS(Data!$T$2:$T$1294,Data!$F$2:$F$1294,"United Kingdom",Data!$E$2:$E$1294,"H2 2025",Data!$I$2:$I$1294,"Channel 2")</f>
        <v>80623</v>
      </c>
      <c r="G11" s="9">
        <f t="shared" si="2"/>
        <v>-0.1975575285</v>
      </c>
      <c r="H11" s="11">
        <f>SUMIFS(Data!$T$2:$T$1294,Data!$F$2:$F$1294,"United Kingdom",Data!$E$2:$E$1294,"H2 2024",Data!$I$2:$I$1294,"Channel 3")</f>
        <v>389801</v>
      </c>
      <c r="I11" s="11">
        <f>SUMIFS(Data!$T$2:$T$1294,Data!$F$2:$F$1294,"United Kingdom",Data!$E$2:$E$1294,"H2 2025",Data!$I$2:$I$1294,"Channel 3")</f>
        <v>387265</v>
      </c>
      <c r="J11" s="9">
        <f t="shared" si="3"/>
        <v>-0.006505883771</v>
      </c>
    </row>
    <row r="12" ht="15.0" customHeight="1">
      <c r="A12" s="4" t="s">
        <v>92</v>
      </c>
      <c r="B12" s="13">
        <f t="shared" ref="B12:C12" si="4">IF(B4=0,"",B5/B4)</f>
        <v>0.5941718383</v>
      </c>
      <c r="C12" s="13">
        <f t="shared" si="4"/>
        <v>0.5625790139</v>
      </c>
      <c r="D12" s="14">
        <f t="shared" ref="D12:D14" si="8">(C12-B12)*100</f>
        <v>-3.15928244</v>
      </c>
      <c r="E12" s="13">
        <f t="shared" ref="E12:F12" si="5">IF(E4=0,"",E5/E4)</f>
        <v>0.4573602776</v>
      </c>
      <c r="F12" s="13">
        <f t="shared" si="5"/>
        <v>0.3027128113</v>
      </c>
      <c r="G12" s="14">
        <f t="shared" ref="G12:G14" si="10">(F12-E12)*100</f>
        <v>-15.46474664</v>
      </c>
      <c r="H12" s="13">
        <f t="shared" ref="H12:I12" si="6">IF(H4=0,"",H5/H4)</f>
        <v>0.6082407196</v>
      </c>
      <c r="I12" s="13">
        <f t="shared" si="6"/>
        <v>0.5117965563</v>
      </c>
      <c r="J12" s="14">
        <f t="shared" ref="J12:J14" si="12">(I12-H12)*100</f>
        <v>-9.644416325</v>
      </c>
    </row>
    <row r="13" ht="15.0" customHeight="1">
      <c r="A13" s="7" t="s">
        <v>93</v>
      </c>
      <c r="B13" s="16">
        <f t="shared" ref="B13:C13" si="7">IF(B4=0,"",B6/B4)</f>
        <v>0.2874447754</v>
      </c>
      <c r="C13" s="16">
        <f t="shared" si="7"/>
        <v>0.2798766119</v>
      </c>
      <c r="D13" s="17">
        <f t="shared" si="8"/>
        <v>-0.7568163559</v>
      </c>
      <c r="E13" s="16">
        <f t="shared" ref="E13:F13" si="9">IF(E4=0,"",E6/E4)</f>
        <v>0.2099390259</v>
      </c>
      <c r="F13" s="16">
        <f t="shared" si="9"/>
        <v>0.1424887187</v>
      </c>
      <c r="G13" s="17">
        <f t="shared" si="10"/>
        <v>-6.74503072</v>
      </c>
      <c r="H13" s="16">
        <f t="shared" ref="H13:I13" si="11">IF(H4=0,"",H6/H4)</f>
        <v>0.3972197806</v>
      </c>
      <c r="I13" s="16">
        <f t="shared" si="11"/>
        <v>0.3448220404</v>
      </c>
      <c r="J13" s="17">
        <f t="shared" si="12"/>
        <v>-5.239774023</v>
      </c>
    </row>
    <row r="14" ht="15.0" customHeight="1">
      <c r="A14" s="4" t="s">
        <v>94</v>
      </c>
      <c r="B14" s="13">
        <f t="shared" ref="B14:C14" si="13">IF(B6=0,"",B7/B6)</f>
        <v>0.9545883017</v>
      </c>
      <c r="C14" s="13">
        <f t="shared" si="13"/>
        <v>0.9502616287</v>
      </c>
      <c r="D14" s="14">
        <f t="shared" si="8"/>
        <v>-0.4326672961</v>
      </c>
      <c r="E14" s="13">
        <f t="shared" ref="E14:F14" si="14">IF(E6=0,"",E7/E6)</f>
        <v>0.9545115371</v>
      </c>
      <c r="F14" s="13">
        <f t="shared" si="14"/>
        <v>0.9495628283</v>
      </c>
      <c r="G14" s="14">
        <f t="shared" si="10"/>
        <v>-0.4948708794</v>
      </c>
      <c r="H14" s="13">
        <f t="shared" ref="H14:I14" si="15">IF(H6=0,"",H7/H6)</f>
        <v>0.9080010306</v>
      </c>
      <c r="I14" s="13">
        <f t="shared" si="15"/>
        <v>0.8611224966</v>
      </c>
      <c r="J14" s="14">
        <f t="shared" si="12"/>
        <v>-4.687853406</v>
      </c>
    </row>
    <row r="15" ht="15.0" customHeight="1">
      <c r="A15" s="7" t="s">
        <v>96</v>
      </c>
      <c r="B15" s="26">
        <f t="shared" ref="B15:C15" si="16">IF(B10=0,"",B9/B10)</f>
        <v>1.640112348</v>
      </c>
      <c r="C15" s="26">
        <f t="shared" si="16"/>
        <v>1.58941013</v>
      </c>
      <c r="D15" s="9">
        <f>IF(B15=0,"N/A",C15/B15-1)</f>
        <v>-0.03091386827</v>
      </c>
      <c r="E15" s="26">
        <f t="shared" ref="E15:F15" si="17">IF(E10=0,"",E9/E10)</f>
        <v>1.503894436</v>
      </c>
      <c r="F15" s="26">
        <f t="shared" si="17"/>
        <v>1.275022432</v>
      </c>
      <c r="G15" s="9">
        <f>IF(E15=0,"N/A",F15/E15-1)</f>
        <v>-0.1521862165</v>
      </c>
      <c r="H15" s="26">
        <f t="shared" ref="H15:I15" si="18">IF(H10=0,"",H9/H10)</f>
        <v>17.61626668</v>
      </c>
      <c r="I15" s="26">
        <f t="shared" si="18"/>
        <v>28.09480165</v>
      </c>
      <c r="J15" s="9">
        <f>IF(H15=0,"N/A",I15/H15-1)</f>
        <v>0.5948215456</v>
      </c>
    </row>
    <row r="16" ht="15.0" customHeight="1">
      <c r="A16" s="4" t="s">
        <v>97</v>
      </c>
      <c r="B16" s="13">
        <f t="shared" ref="B16:C16" si="19">IF(B9=0,"",B11/B9)</f>
        <v>0.3902879151</v>
      </c>
      <c r="C16" s="13">
        <f t="shared" si="19"/>
        <v>0.370841137</v>
      </c>
      <c r="D16" s="14">
        <f>(C16-B16)*100</f>
        <v>-1.944677814</v>
      </c>
      <c r="E16" s="13">
        <f t="shared" ref="E16:F16" si="20">IF(E9=0,"",E11/E9)</f>
        <v>0.3350663816</v>
      </c>
      <c r="F16" s="13">
        <f t="shared" si="20"/>
        <v>0.2157321831</v>
      </c>
      <c r="G16" s="14">
        <f>(F16-E16)*100</f>
        <v>-11.93341986</v>
      </c>
      <c r="H16" s="13">
        <f t="shared" ref="H16:I16" si="21">IF(H9=0,"",H11/H9)</f>
        <v>0.9432342835</v>
      </c>
      <c r="I16" s="13">
        <f t="shared" si="21"/>
        <v>0.9644037364</v>
      </c>
      <c r="J16" s="14">
        <f>(I16-H16)*100</f>
        <v>2.116945294</v>
      </c>
    </row>
    <row r="17" ht="15.0" customHeight="1">
      <c r="A17" s="7" t="s">
        <v>99</v>
      </c>
      <c r="B17" s="21">
        <f t="shared" ref="B17:C17" si="22">IF(B8=0,"",B9/B8)</f>
        <v>14.83849266</v>
      </c>
      <c r="C17" s="21">
        <f t="shared" si="22"/>
        <v>16.77140763</v>
      </c>
      <c r="D17" s="9">
        <f>IF(B17=0,"N/A",C17/B17-1)</f>
        <v>0.1302635659</v>
      </c>
      <c r="E17" s="21">
        <f t="shared" ref="E17:F17" si="23">IF(E8=0,"",E9/E8)</f>
        <v>14.04087844</v>
      </c>
      <c r="F17" s="21">
        <f t="shared" si="23"/>
        <v>13.20558304</v>
      </c>
      <c r="G17" s="9">
        <f>IF(E17=0,"N/A",F17/E17-1)</f>
        <v>-0.05949025243</v>
      </c>
      <c r="H17" s="21">
        <f t="shared" ref="H17:I17" si="24">IF(H8=0,"",H9/H8)</f>
        <v>11.36391135</v>
      </c>
      <c r="I17" s="21">
        <f t="shared" si="24"/>
        <v>11.94227509</v>
      </c>
      <c r="J17" s="9">
        <f>IF(H17=0,"N/A",I17/H17-1)</f>
        <v>0.05089477818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ht="17.25" customHeight="1">
      <c r="A20" s="22" t="s">
        <v>120</v>
      </c>
      <c r="B20" s="2"/>
      <c r="C20" s="2"/>
      <c r="D20" s="2"/>
      <c r="E20" s="2"/>
      <c r="F20" s="2"/>
      <c r="G20" s="2"/>
      <c r="H20" s="2"/>
      <c r="I20" s="2"/>
      <c r="J20" s="2"/>
    </row>
    <row r="21" ht="15.0" customHeight="1">
      <c r="A21" s="1" t="s">
        <v>3</v>
      </c>
      <c r="B21" s="1" t="s">
        <v>101</v>
      </c>
      <c r="C21" s="1" t="s">
        <v>85</v>
      </c>
      <c r="D21" s="1" t="s">
        <v>103</v>
      </c>
      <c r="E21" s="1" t="s">
        <v>105</v>
      </c>
      <c r="F21" s="1" t="s">
        <v>106</v>
      </c>
      <c r="G21" s="1" t="s">
        <v>107</v>
      </c>
      <c r="H21" s="1" t="s">
        <v>96</v>
      </c>
      <c r="I21" s="2"/>
      <c r="J21" s="2"/>
    </row>
    <row r="22" ht="15.0" customHeight="1">
      <c r="A22" s="4" t="s">
        <v>52</v>
      </c>
      <c r="B22" s="5">
        <f>SUMIFS(Data!$J$2:$J$1294,Data!$F$2:$F$1294,"United Kingdom",Data!$D$2:$D$1294,"2024-07",Data!$I$2:$I$1294,"Channel 2")</f>
        <v>30472</v>
      </c>
      <c r="C22" s="5">
        <f>SUMIFS(Data!$L$2:$L$1294,Data!$F$2:$F$1294,"United Kingdom",Data!$D$2:$D$1294,"2024-07",Data!$I$2:$I$1294,"Channel 2")</f>
        <v>6947</v>
      </c>
      <c r="D22" s="13">
        <f t="shared" ref="D22:D39" si="25">IF(B22=0,"",C22/B22)</f>
        <v>0.2279797847</v>
      </c>
      <c r="E22" s="10">
        <f>SUMIFS(Data!$R$2:$R$1294,Data!$F$2:$F$1294,"United Kingdom",Data!$D$2:$D$1294,"2024-07",Data!$I$2:$I$1294,"Channel 2")</f>
        <v>53194</v>
      </c>
      <c r="F22" s="10">
        <f>SUMIFS(Data!$S$2:$S$1294,Data!$F$2:$F$1294,"United Kingdom",Data!$D$2:$D$1294,"2024-07",Data!$I$2:$I$1294,"Channel 2")</f>
        <v>32809</v>
      </c>
      <c r="G22" s="10">
        <f>SUMIFS(Data!$T$2:$T$1294,Data!$F$2:$F$1294,"United Kingdom",Data!$D$2:$D$1294,"2024-07",Data!$I$2:$I$1294,"Channel 2")</f>
        <v>20390</v>
      </c>
      <c r="H22" s="23">
        <f t="shared" ref="H22:H39" si="26">IF(F22=0,"",E22/F22)</f>
        <v>1.621323417</v>
      </c>
      <c r="I22" s="2"/>
      <c r="J22" s="2"/>
    </row>
    <row r="23" ht="15.0" customHeight="1">
      <c r="A23" s="7" t="s">
        <v>24</v>
      </c>
      <c r="B23" s="8">
        <f>SUMIFS(Data!$J$2:$J$1294,Data!$F$2:$F$1294,"United Kingdom",Data!$D$2:$D$1294,"2024-08",Data!$I$2:$I$1294,"Channel 2")</f>
        <v>28723</v>
      </c>
      <c r="C23" s="8">
        <f>SUMIFS(Data!$L$2:$L$1294,Data!$F$2:$F$1294,"United Kingdom",Data!$D$2:$D$1294,"2024-08",Data!$I$2:$I$1294,"Channel 2")</f>
        <v>6307</v>
      </c>
      <c r="D23" s="16">
        <f t="shared" si="25"/>
        <v>0.2195801274</v>
      </c>
      <c r="E23" s="11">
        <f>SUMIFS(Data!$R$2:$R$1294,Data!$F$2:$F$1294,"United Kingdom",Data!$D$2:$D$1294,"2024-08",Data!$I$2:$I$1294,"Channel 2")</f>
        <v>51773</v>
      </c>
      <c r="F23" s="11">
        <f>SUMIFS(Data!$S$2:$S$1294,Data!$F$2:$F$1294,"United Kingdom",Data!$D$2:$D$1294,"2024-08",Data!$I$2:$I$1294,"Channel 2")</f>
        <v>34521</v>
      </c>
      <c r="G23" s="11">
        <f>SUMIFS(Data!$T$2:$T$1294,Data!$F$2:$F$1294,"United Kingdom",Data!$D$2:$D$1294,"2024-08",Data!$I$2:$I$1294,"Channel 2")</f>
        <v>17251</v>
      </c>
      <c r="H23" s="24">
        <f t="shared" si="26"/>
        <v>1.499753773</v>
      </c>
      <c r="I23" s="2"/>
      <c r="J23" s="2"/>
    </row>
    <row r="24" ht="15.0" customHeight="1">
      <c r="A24" s="4" t="s">
        <v>58</v>
      </c>
      <c r="B24" s="5">
        <f>SUMIFS(Data!$J$2:$J$1294,Data!$F$2:$F$1294,"United Kingdom",Data!$D$2:$D$1294,"2024-09",Data!$I$2:$I$1294,"Channel 2")</f>
        <v>30731</v>
      </c>
      <c r="C24" s="5">
        <f>SUMIFS(Data!$L$2:$L$1294,Data!$F$2:$F$1294,"United Kingdom",Data!$D$2:$D$1294,"2024-09",Data!$I$2:$I$1294,"Channel 2")</f>
        <v>6470</v>
      </c>
      <c r="D24" s="13">
        <f t="shared" si="25"/>
        <v>0.2105365917</v>
      </c>
      <c r="E24" s="10">
        <f>SUMIFS(Data!$R$2:$R$1294,Data!$F$2:$F$1294,"United Kingdom",Data!$D$2:$D$1294,"2024-09",Data!$I$2:$I$1294,"Channel 2")</f>
        <v>53944</v>
      </c>
      <c r="F24" s="10">
        <f>SUMIFS(Data!$S$2:$S$1294,Data!$F$2:$F$1294,"United Kingdom",Data!$D$2:$D$1294,"2024-09",Data!$I$2:$I$1294,"Channel 2")</f>
        <v>37695</v>
      </c>
      <c r="G24" s="10">
        <f>SUMIFS(Data!$T$2:$T$1294,Data!$F$2:$F$1294,"United Kingdom",Data!$D$2:$D$1294,"2024-09",Data!$I$2:$I$1294,"Channel 2")</f>
        <v>16247</v>
      </c>
      <c r="H24" s="23">
        <f t="shared" si="26"/>
        <v>1.431065128</v>
      </c>
      <c r="I24" s="2"/>
      <c r="J24" s="2"/>
    </row>
    <row r="25" ht="15.0" customHeight="1">
      <c r="A25" s="7" t="s">
        <v>56</v>
      </c>
      <c r="B25" s="8">
        <f>SUMIFS(Data!$J$2:$J$1294,Data!$F$2:$F$1294,"United Kingdom",Data!$D$2:$D$1294,"2024-10",Data!$I$2:$I$1294,"Channel 2")</f>
        <v>30854</v>
      </c>
      <c r="C25" s="8">
        <f>SUMIFS(Data!$L$2:$L$1294,Data!$F$2:$F$1294,"United Kingdom",Data!$D$2:$D$1294,"2024-10",Data!$I$2:$I$1294,"Channel 2")</f>
        <v>6325</v>
      </c>
      <c r="D25" s="16">
        <f t="shared" si="25"/>
        <v>0.2049977313</v>
      </c>
      <c r="E25" s="11">
        <f>SUMIFS(Data!$R$2:$R$1294,Data!$F$2:$F$1294,"United Kingdom",Data!$D$2:$D$1294,"2024-10",Data!$I$2:$I$1294,"Channel 2")</f>
        <v>53103</v>
      </c>
      <c r="F25" s="11">
        <f>SUMIFS(Data!$S$2:$S$1294,Data!$F$2:$F$1294,"United Kingdom",Data!$D$2:$D$1294,"2024-10",Data!$I$2:$I$1294,"Channel 2")</f>
        <v>38611</v>
      </c>
      <c r="G25" s="11">
        <f>SUMIFS(Data!$T$2:$T$1294,Data!$F$2:$F$1294,"United Kingdom",Data!$D$2:$D$1294,"2024-10",Data!$I$2:$I$1294,"Channel 2")</f>
        <v>14491</v>
      </c>
      <c r="H25" s="24">
        <f t="shared" si="26"/>
        <v>1.375333454</v>
      </c>
      <c r="I25" s="2"/>
      <c r="J25" s="2"/>
    </row>
    <row r="26" ht="15.0" customHeight="1">
      <c r="A26" s="4" t="s">
        <v>54</v>
      </c>
      <c r="B26" s="5">
        <f>SUMIFS(Data!$J$2:$J$1294,Data!$F$2:$F$1294,"United Kingdom",Data!$D$2:$D$1294,"2024-11",Data!$I$2:$I$1294,"Channel 2")</f>
        <v>26834</v>
      </c>
      <c r="C26" s="5">
        <f>SUMIFS(Data!$L$2:$L$1294,Data!$F$2:$F$1294,"United Kingdom",Data!$D$2:$D$1294,"2024-11",Data!$I$2:$I$1294,"Channel 2")</f>
        <v>5011</v>
      </c>
      <c r="D26" s="13">
        <f t="shared" si="25"/>
        <v>0.1867407021</v>
      </c>
      <c r="E26" s="10">
        <f>SUMIFS(Data!$R$2:$R$1294,Data!$F$2:$F$1294,"United Kingdom",Data!$D$2:$D$1294,"2024-11",Data!$I$2:$I$1294,"Channel 2")</f>
        <v>47862</v>
      </c>
      <c r="F26" s="10">
        <f>SUMIFS(Data!$S$2:$S$1294,Data!$F$2:$F$1294,"United Kingdom",Data!$D$2:$D$1294,"2024-11",Data!$I$2:$I$1294,"Channel 2")</f>
        <v>32108</v>
      </c>
      <c r="G26" s="10">
        <f>SUMIFS(Data!$T$2:$T$1294,Data!$F$2:$F$1294,"United Kingdom",Data!$D$2:$D$1294,"2024-11",Data!$I$2:$I$1294,"Channel 2")</f>
        <v>15753</v>
      </c>
      <c r="H26" s="23">
        <f t="shared" si="26"/>
        <v>1.490656534</v>
      </c>
      <c r="I26" s="2"/>
      <c r="J26" s="2"/>
    </row>
    <row r="27" ht="15.0" customHeight="1">
      <c r="A27" s="7" t="s">
        <v>50</v>
      </c>
      <c r="B27" s="8">
        <f>SUMIFS(Data!$J$2:$J$1294,Data!$F$2:$F$1294,"United Kingdom",Data!$D$2:$D$1294,"2024-12",Data!$I$2:$I$1294,"Channel 2")</f>
        <v>18358</v>
      </c>
      <c r="C27" s="8">
        <f>SUMIFS(Data!$L$2:$L$1294,Data!$F$2:$F$1294,"United Kingdom",Data!$D$2:$D$1294,"2024-12",Data!$I$2:$I$1294,"Channel 2")</f>
        <v>3784</v>
      </c>
      <c r="D27" s="16">
        <f t="shared" si="25"/>
        <v>0.2061226713</v>
      </c>
      <c r="E27" s="11">
        <f>SUMIFS(Data!$R$2:$R$1294,Data!$F$2:$F$1294,"United Kingdom",Data!$D$2:$D$1294,"2024-12",Data!$I$2:$I$1294,"Channel 2")</f>
        <v>39981</v>
      </c>
      <c r="F27" s="11">
        <f>SUMIFS(Data!$S$2:$S$1294,Data!$F$2:$F$1294,"United Kingdom",Data!$D$2:$D$1294,"2024-12",Data!$I$2:$I$1294,"Channel 2")</f>
        <v>23643</v>
      </c>
      <c r="G27" s="11">
        <f>SUMIFS(Data!$T$2:$T$1294,Data!$F$2:$F$1294,"United Kingdom",Data!$D$2:$D$1294,"2024-12",Data!$I$2:$I$1294,"Channel 2")</f>
        <v>16340</v>
      </c>
      <c r="H27" s="24">
        <f t="shared" si="26"/>
        <v>1.691029057</v>
      </c>
      <c r="I27" s="2"/>
      <c r="J27" s="2"/>
    </row>
    <row r="28" ht="15.0" customHeight="1">
      <c r="A28" s="4" t="s">
        <v>68</v>
      </c>
      <c r="B28" s="5">
        <f>SUMIFS(Data!$J$2:$J$1294,Data!$F$2:$F$1294,"United Kingdom",Data!$D$2:$D$1294,"2025-01",Data!$I$2:$I$1294,"Channel 2")</f>
        <v>31204</v>
      </c>
      <c r="C28" s="5">
        <f>SUMIFS(Data!$L$2:$L$1294,Data!$F$2:$F$1294,"United Kingdom",Data!$D$2:$D$1294,"2025-01",Data!$I$2:$I$1294,"Channel 2")</f>
        <v>6382</v>
      </c>
      <c r="D28" s="13">
        <f t="shared" si="25"/>
        <v>0.2045250609</v>
      </c>
      <c r="E28" s="10">
        <f>SUMIFS(Data!$R$2:$R$1294,Data!$F$2:$F$1294,"United Kingdom",Data!$D$2:$D$1294,"2025-01",Data!$I$2:$I$1294,"Channel 2")</f>
        <v>64819</v>
      </c>
      <c r="F28" s="10">
        <f>SUMIFS(Data!$S$2:$S$1294,Data!$F$2:$F$1294,"United Kingdom",Data!$D$2:$D$1294,"2025-01",Data!$I$2:$I$1294,"Channel 2")</f>
        <v>38827</v>
      </c>
      <c r="G28" s="10">
        <f>SUMIFS(Data!$T$2:$T$1294,Data!$F$2:$F$1294,"United Kingdom",Data!$D$2:$D$1294,"2025-01",Data!$I$2:$I$1294,"Channel 2")</f>
        <v>25993</v>
      </c>
      <c r="H28" s="23">
        <f t="shared" si="26"/>
        <v>1.669431066</v>
      </c>
      <c r="I28" s="2"/>
      <c r="J28" s="2"/>
    </row>
    <row r="29" ht="15.0" customHeight="1">
      <c r="A29" s="7" t="s">
        <v>66</v>
      </c>
      <c r="B29" s="8">
        <f>SUMIFS(Data!$J$2:$J$1294,Data!$F$2:$F$1294,"United Kingdom",Data!$D$2:$D$1294,"2025-02",Data!$I$2:$I$1294,"Channel 2")</f>
        <v>28700</v>
      </c>
      <c r="C29" s="8">
        <f>SUMIFS(Data!$L$2:$L$1294,Data!$F$2:$F$1294,"United Kingdom",Data!$D$2:$D$1294,"2025-02",Data!$I$2:$I$1294,"Channel 2")</f>
        <v>6032</v>
      </c>
      <c r="D29" s="16">
        <f t="shared" si="25"/>
        <v>0.210174216</v>
      </c>
      <c r="E29" s="11">
        <f>SUMIFS(Data!$R$2:$R$1294,Data!$F$2:$F$1294,"United Kingdom",Data!$D$2:$D$1294,"2025-02",Data!$I$2:$I$1294,"Channel 2")</f>
        <v>59139</v>
      </c>
      <c r="F29" s="11">
        <f>SUMIFS(Data!$S$2:$S$1294,Data!$F$2:$F$1294,"United Kingdom",Data!$D$2:$D$1294,"2025-02",Data!$I$2:$I$1294,"Channel 2")</f>
        <v>37785</v>
      </c>
      <c r="G29" s="11">
        <f>SUMIFS(Data!$T$2:$T$1294,Data!$F$2:$F$1294,"United Kingdom",Data!$D$2:$D$1294,"2025-02",Data!$I$2:$I$1294,"Channel 2")</f>
        <v>21354</v>
      </c>
      <c r="H29" s="24">
        <f t="shared" si="26"/>
        <v>1.565144899</v>
      </c>
      <c r="I29" s="2"/>
      <c r="J29" s="2"/>
    </row>
    <row r="30" ht="15.0" customHeight="1">
      <c r="A30" s="4" t="s">
        <v>73</v>
      </c>
      <c r="B30" s="5">
        <f>SUMIFS(Data!$J$2:$J$1294,Data!$F$2:$F$1294,"United Kingdom",Data!$D$2:$D$1294,"2025-03",Data!$I$2:$I$1294,"Channel 2")</f>
        <v>30115</v>
      </c>
      <c r="C30" s="5">
        <f>SUMIFS(Data!$L$2:$L$1294,Data!$F$2:$F$1294,"United Kingdom",Data!$D$2:$D$1294,"2025-03",Data!$I$2:$I$1294,"Channel 2")</f>
        <v>6296</v>
      </c>
      <c r="D30" s="13">
        <f t="shared" si="25"/>
        <v>0.2090652499</v>
      </c>
      <c r="E30" s="10">
        <f>SUMIFS(Data!$R$2:$R$1294,Data!$F$2:$F$1294,"United Kingdom",Data!$D$2:$D$1294,"2025-03",Data!$I$2:$I$1294,"Channel 2")</f>
        <v>57101</v>
      </c>
      <c r="F30" s="10">
        <f>SUMIFS(Data!$S$2:$S$1294,Data!$F$2:$F$1294,"United Kingdom",Data!$D$2:$D$1294,"2025-03",Data!$I$2:$I$1294,"Channel 2")</f>
        <v>38625</v>
      </c>
      <c r="G30" s="10">
        <f>SUMIFS(Data!$T$2:$T$1294,Data!$F$2:$F$1294,"United Kingdom",Data!$D$2:$D$1294,"2025-03",Data!$I$2:$I$1294,"Channel 2")</f>
        <v>18476</v>
      </c>
      <c r="H30" s="23">
        <f t="shared" si="26"/>
        <v>1.478343042</v>
      </c>
      <c r="I30" s="2"/>
      <c r="J30" s="2"/>
    </row>
    <row r="31" ht="15.0" customHeight="1">
      <c r="A31" s="7" t="s">
        <v>60</v>
      </c>
      <c r="B31" s="8">
        <f>SUMIFS(Data!$J$2:$J$1294,Data!$F$2:$F$1294,"United Kingdom",Data!$D$2:$D$1294,"2025-04",Data!$I$2:$I$1294,"Channel 2")</f>
        <v>28295</v>
      </c>
      <c r="C31" s="8">
        <f>SUMIFS(Data!$L$2:$L$1294,Data!$F$2:$F$1294,"United Kingdom",Data!$D$2:$D$1294,"2025-04",Data!$I$2:$I$1294,"Channel 2")</f>
        <v>6116</v>
      </c>
      <c r="D31" s="16">
        <f t="shared" si="25"/>
        <v>0.2161512635</v>
      </c>
      <c r="E31" s="11">
        <f>SUMIFS(Data!$R$2:$R$1294,Data!$F$2:$F$1294,"United Kingdom",Data!$D$2:$D$1294,"2025-04",Data!$I$2:$I$1294,"Channel 2")</f>
        <v>59610</v>
      </c>
      <c r="F31" s="11">
        <f>SUMIFS(Data!$S$2:$S$1294,Data!$F$2:$F$1294,"United Kingdom",Data!$D$2:$D$1294,"2025-04",Data!$I$2:$I$1294,"Channel 2")</f>
        <v>37568</v>
      </c>
      <c r="G31" s="11">
        <f>SUMIFS(Data!$T$2:$T$1294,Data!$F$2:$F$1294,"United Kingdom",Data!$D$2:$D$1294,"2025-04",Data!$I$2:$I$1294,"Channel 2")</f>
        <v>22043</v>
      </c>
      <c r="H31" s="24">
        <f t="shared" si="26"/>
        <v>1.586722743</v>
      </c>
      <c r="I31" s="2"/>
      <c r="J31" s="2"/>
    </row>
    <row r="32" ht="15.0" customHeight="1">
      <c r="A32" s="4" t="s">
        <v>75</v>
      </c>
      <c r="B32" s="5">
        <f>SUMIFS(Data!$J$2:$J$1294,Data!$F$2:$F$1294,"United Kingdom",Data!$D$2:$D$1294,"2025-05",Data!$I$2:$I$1294,"Channel 2")</f>
        <v>41925</v>
      </c>
      <c r="C32" s="5">
        <f>SUMIFS(Data!$L$2:$L$1294,Data!$F$2:$F$1294,"United Kingdom",Data!$D$2:$D$1294,"2025-05",Data!$I$2:$I$1294,"Channel 2")</f>
        <v>9054</v>
      </c>
      <c r="D32" s="13">
        <f t="shared" si="25"/>
        <v>0.2159570662</v>
      </c>
      <c r="E32" s="10">
        <f>SUMIFS(Data!$R$2:$R$1294,Data!$F$2:$F$1294,"United Kingdom",Data!$D$2:$D$1294,"2025-05",Data!$I$2:$I$1294,"Channel 2")</f>
        <v>64487</v>
      </c>
      <c r="F32" s="10">
        <f>SUMIFS(Data!$S$2:$S$1294,Data!$F$2:$F$1294,"United Kingdom",Data!$D$2:$D$1294,"2025-05",Data!$I$2:$I$1294,"Channel 2")</f>
        <v>51400</v>
      </c>
      <c r="G32" s="10">
        <f>SUMIFS(Data!$T$2:$T$1294,Data!$F$2:$F$1294,"United Kingdom",Data!$D$2:$D$1294,"2025-05",Data!$I$2:$I$1294,"Channel 2")</f>
        <v>13089</v>
      </c>
      <c r="H32" s="23">
        <f t="shared" si="26"/>
        <v>1.254610895</v>
      </c>
      <c r="I32" s="2"/>
      <c r="J32" s="2"/>
    </row>
    <row r="33" ht="15.0" customHeight="1">
      <c r="A33" s="7" t="s">
        <v>71</v>
      </c>
      <c r="B33" s="8">
        <f>SUMIFS(Data!$J$2:$J$1294,Data!$F$2:$F$1294,"United Kingdom",Data!$D$2:$D$1294,"2025-06",Data!$I$2:$I$1294,"Channel 2")</f>
        <v>68484</v>
      </c>
      <c r="C33" s="8">
        <f>SUMIFS(Data!$L$2:$L$1294,Data!$F$2:$F$1294,"United Kingdom",Data!$D$2:$D$1294,"2025-06",Data!$I$2:$I$1294,"Channel 2")</f>
        <v>14472</v>
      </c>
      <c r="D33" s="16">
        <f t="shared" si="25"/>
        <v>0.2113194323</v>
      </c>
      <c r="E33" s="11">
        <f>SUMIFS(Data!$R$2:$R$1294,Data!$F$2:$F$1294,"United Kingdom",Data!$D$2:$D$1294,"2025-06",Data!$I$2:$I$1294,"Channel 2")</f>
        <v>86962</v>
      </c>
      <c r="F33" s="11">
        <f>SUMIFS(Data!$S$2:$S$1294,Data!$F$2:$F$1294,"United Kingdom",Data!$D$2:$D$1294,"2025-06",Data!$I$2:$I$1294,"Channel 2")</f>
        <v>74076</v>
      </c>
      <c r="G33" s="11">
        <f>SUMIFS(Data!$T$2:$T$1294,Data!$F$2:$F$1294,"United Kingdom",Data!$D$2:$D$1294,"2025-06",Data!$I$2:$I$1294,"Channel 2")</f>
        <v>12887</v>
      </c>
      <c r="H33" s="24">
        <f t="shared" si="26"/>
        <v>1.173956477</v>
      </c>
      <c r="I33" s="2"/>
      <c r="J33" s="2"/>
    </row>
    <row r="34" ht="15.0" customHeight="1">
      <c r="A34" s="4" t="s">
        <v>69</v>
      </c>
      <c r="B34" s="5">
        <f>SUMIFS(Data!$J$2:$J$1294,Data!$F$2:$F$1294,"United Kingdom",Data!$D$2:$D$1294,"2025-07",Data!$I$2:$I$1294,"Channel 2")</f>
        <v>71366</v>
      </c>
      <c r="C34" s="5">
        <f>SUMIFS(Data!$L$2:$L$1294,Data!$F$2:$F$1294,"United Kingdom",Data!$D$2:$D$1294,"2025-07",Data!$I$2:$I$1294,"Channel 2")</f>
        <v>14570</v>
      </c>
      <c r="D34" s="13">
        <f t="shared" si="25"/>
        <v>0.2041588431</v>
      </c>
      <c r="E34" s="10">
        <f>SUMIFS(Data!$R$2:$R$1294,Data!$F$2:$F$1294,"United Kingdom",Data!$D$2:$D$1294,"2025-07",Data!$I$2:$I$1294,"Channel 2")</f>
        <v>89256</v>
      </c>
      <c r="F34" s="10">
        <f>SUMIFS(Data!$S$2:$S$1294,Data!$F$2:$F$1294,"United Kingdom",Data!$D$2:$D$1294,"2025-07",Data!$I$2:$I$1294,"Channel 2")</f>
        <v>73029</v>
      </c>
      <c r="G34" s="10">
        <f>SUMIFS(Data!$T$2:$T$1294,Data!$F$2:$F$1294,"United Kingdom",Data!$D$2:$D$1294,"2025-07",Data!$I$2:$I$1294,"Channel 2")</f>
        <v>16231</v>
      </c>
      <c r="H34" s="23">
        <f t="shared" si="26"/>
        <v>1.2221994</v>
      </c>
      <c r="I34" s="2"/>
      <c r="J34" s="2"/>
    </row>
    <row r="35" ht="15.0" customHeight="1">
      <c r="A35" s="7" t="s">
        <v>62</v>
      </c>
      <c r="B35" s="8">
        <f>SUMIFS(Data!$J$2:$J$1294,Data!$F$2:$F$1294,"United Kingdom",Data!$D$2:$D$1294,"2025-08",Data!$I$2:$I$1294,"Channel 2")</f>
        <v>82104</v>
      </c>
      <c r="C35" s="8">
        <f>SUMIFS(Data!$L$2:$L$1294,Data!$F$2:$F$1294,"United Kingdom",Data!$D$2:$D$1294,"2025-08",Data!$I$2:$I$1294,"Channel 2")</f>
        <v>12023</v>
      </c>
      <c r="D35" s="16">
        <f t="shared" si="25"/>
        <v>0.1464362272</v>
      </c>
      <c r="E35" s="11">
        <f>SUMIFS(Data!$R$2:$R$1294,Data!$F$2:$F$1294,"United Kingdom",Data!$D$2:$D$1294,"2025-08",Data!$I$2:$I$1294,"Channel 2")</f>
        <v>72208</v>
      </c>
      <c r="F35" s="11">
        <f>SUMIFS(Data!$S$2:$S$1294,Data!$F$2:$F$1294,"United Kingdom",Data!$D$2:$D$1294,"2025-08",Data!$I$2:$I$1294,"Channel 2")</f>
        <v>59239</v>
      </c>
      <c r="G35" s="11">
        <f>SUMIFS(Data!$T$2:$T$1294,Data!$F$2:$F$1294,"United Kingdom",Data!$D$2:$D$1294,"2025-08",Data!$I$2:$I$1294,"Channel 2")</f>
        <v>12967</v>
      </c>
      <c r="H35" s="24">
        <f t="shared" si="26"/>
        <v>1.218926721</v>
      </c>
      <c r="I35" s="2"/>
      <c r="J35" s="2"/>
    </row>
    <row r="36" ht="15.0" customHeight="1">
      <c r="A36" s="4" t="s">
        <v>78</v>
      </c>
      <c r="B36" s="5">
        <f>SUMIFS(Data!$J$2:$J$1294,Data!$F$2:$F$1294,"United Kingdom",Data!$D$2:$D$1294,"2025-09",Data!$I$2:$I$1294,"Channel 2")</f>
        <v>99097</v>
      </c>
      <c r="C36" s="5">
        <f>SUMIFS(Data!$L$2:$L$1294,Data!$F$2:$F$1294,"United Kingdom",Data!$D$2:$D$1294,"2025-09",Data!$I$2:$I$1294,"Channel 2")</f>
        <v>10664</v>
      </c>
      <c r="D36" s="13">
        <f t="shared" si="25"/>
        <v>0.107611734</v>
      </c>
      <c r="E36" s="10">
        <f>SUMIFS(Data!$R$2:$R$1294,Data!$F$2:$F$1294,"United Kingdom",Data!$D$2:$D$1294,"2025-09",Data!$I$2:$I$1294,"Channel 2")</f>
        <v>74327</v>
      </c>
      <c r="F36" s="10">
        <f>SUMIFS(Data!$S$2:$S$1294,Data!$F$2:$F$1294,"United Kingdom",Data!$D$2:$D$1294,"2025-09",Data!$I$2:$I$1294,"Channel 2")</f>
        <v>60124</v>
      </c>
      <c r="G36" s="10">
        <f>SUMIFS(Data!$T$2:$T$1294,Data!$F$2:$F$1294,"United Kingdom",Data!$D$2:$D$1294,"2025-09",Data!$I$2:$I$1294,"Channel 2")</f>
        <v>14204</v>
      </c>
      <c r="H36" s="23">
        <f t="shared" si="26"/>
        <v>1.236228461</v>
      </c>
      <c r="I36" s="2"/>
      <c r="J36" s="2"/>
    </row>
    <row r="37" ht="15.0" customHeight="1">
      <c r="A37" s="7" t="s">
        <v>77</v>
      </c>
      <c r="B37" s="8">
        <f>SUMIFS(Data!$J$2:$J$1294,Data!$F$2:$F$1294,"United Kingdom",Data!$D$2:$D$1294,"2025-10",Data!$I$2:$I$1294,"Channel 2")</f>
        <v>79389</v>
      </c>
      <c r="C37" s="8">
        <f>SUMIFS(Data!$L$2:$L$1294,Data!$F$2:$F$1294,"United Kingdom",Data!$D$2:$D$1294,"2025-10",Data!$I$2:$I$1294,"Channel 2")</f>
        <v>8014</v>
      </c>
      <c r="D37" s="16">
        <f t="shared" si="25"/>
        <v>0.1009459749</v>
      </c>
      <c r="E37" s="11">
        <f>SUMIFS(Data!$R$2:$R$1294,Data!$F$2:$F$1294,"United Kingdom",Data!$D$2:$D$1294,"2025-10",Data!$I$2:$I$1294,"Channel 2")</f>
        <v>63841</v>
      </c>
      <c r="F37" s="11">
        <f>SUMIFS(Data!$S$2:$S$1294,Data!$F$2:$F$1294,"United Kingdom",Data!$D$2:$D$1294,"2025-10",Data!$I$2:$I$1294,"Channel 2")</f>
        <v>53866</v>
      </c>
      <c r="G37" s="11">
        <f>SUMIFS(Data!$T$2:$T$1294,Data!$F$2:$F$1294,"United Kingdom",Data!$D$2:$D$1294,"2025-10",Data!$I$2:$I$1294,"Channel 2")</f>
        <v>9975</v>
      </c>
      <c r="H37" s="24">
        <f t="shared" si="26"/>
        <v>1.185181747</v>
      </c>
      <c r="I37" s="2"/>
      <c r="J37" s="2"/>
    </row>
    <row r="38" ht="15.0" customHeight="1">
      <c r="A38" s="4" t="s">
        <v>76</v>
      </c>
      <c r="B38" s="5">
        <f>SUMIFS(Data!$J$2:$J$1294,Data!$F$2:$F$1294,"United Kingdom",Data!$D$2:$D$1294,"2025-11",Data!$I$2:$I$1294,"Channel 2")</f>
        <v>28659</v>
      </c>
      <c r="C38" s="5">
        <f>SUMIFS(Data!$L$2:$L$1294,Data!$F$2:$F$1294,"United Kingdom",Data!$D$2:$D$1294,"2025-11",Data!$I$2:$I$1294,"Channel 2")</f>
        <v>5434</v>
      </c>
      <c r="D38" s="13">
        <f t="shared" si="25"/>
        <v>0.1896088489</v>
      </c>
      <c r="E38" s="10">
        <f>SUMIFS(Data!$R$2:$R$1294,Data!$F$2:$F$1294,"United Kingdom",Data!$D$2:$D$1294,"2025-11",Data!$I$2:$I$1294,"Channel 2")</f>
        <v>47862</v>
      </c>
      <c r="F38" s="10">
        <f>SUMIFS(Data!$S$2:$S$1294,Data!$F$2:$F$1294,"United Kingdom",Data!$D$2:$D$1294,"2025-11",Data!$I$2:$I$1294,"Channel 2")</f>
        <v>31273</v>
      </c>
      <c r="G38" s="10">
        <f>SUMIFS(Data!$T$2:$T$1294,Data!$F$2:$F$1294,"United Kingdom",Data!$D$2:$D$1294,"2025-11",Data!$I$2:$I$1294,"Channel 2")</f>
        <v>16592</v>
      </c>
      <c r="H38" s="23">
        <f t="shared" si="26"/>
        <v>1.530457583</v>
      </c>
      <c r="I38" s="2"/>
      <c r="J38" s="2"/>
    </row>
    <row r="39" ht="15.0" customHeight="1">
      <c r="A39" s="7" t="s">
        <v>64</v>
      </c>
      <c r="B39" s="8">
        <f>SUMIFS(Data!$J$2:$J$1294,Data!$F$2:$F$1294,"United Kingdom",Data!$D$2:$D$1294,"2025-12",Data!$I$2:$I$1294,"Channel 2")</f>
        <v>17443</v>
      </c>
      <c r="C39" s="8">
        <f>SUMIFS(Data!$L$2:$L$1294,Data!$F$2:$F$1294,"United Kingdom",Data!$D$2:$D$1294,"2025-12",Data!$I$2:$I$1294,"Channel 2")</f>
        <v>3164</v>
      </c>
      <c r="D39" s="16">
        <f t="shared" si="25"/>
        <v>0.1813908158</v>
      </c>
      <c r="E39" s="11">
        <f>SUMIFS(Data!$R$2:$R$1294,Data!$F$2:$F$1294,"United Kingdom",Data!$D$2:$D$1294,"2025-12",Data!$I$2:$I$1294,"Channel 2")</f>
        <v>26224</v>
      </c>
      <c r="F39" s="11">
        <f>SUMIFS(Data!$S$2:$S$1294,Data!$F$2:$F$1294,"United Kingdom",Data!$D$2:$D$1294,"2025-12",Data!$I$2:$I$1294,"Channel 2")</f>
        <v>15576</v>
      </c>
      <c r="G39" s="11">
        <f>SUMIFS(Data!$T$2:$T$1294,Data!$F$2:$F$1294,"United Kingdom",Data!$D$2:$D$1294,"2025-12",Data!$I$2:$I$1294,"Channel 2")</f>
        <v>10654</v>
      </c>
      <c r="H39" s="24">
        <f t="shared" si="26"/>
        <v>1.683615819</v>
      </c>
      <c r="I39" s="2"/>
      <c r="J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23.25" customHeight="1">
      <c r="A58" s="25" t="s">
        <v>121</v>
      </c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</sheetData>
  <mergeCells count="2">
    <mergeCell ref="A1:J1"/>
    <mergeCell ref="A58:J58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6B3A8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13" width="15.0"/>
    <col customWidth="1" min="14" max="26" width="8.71"/>
  </cols>
  <sheetData>
    <row r="1" ht="19.5" customHeight="1">
      <c r="A1" s="3" t="s">
        <v>122</v>
      </c>
      <c r="K1" s="2"/>
      <c r="L1" s="2"/>
      <c r="M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15.0" customHeight="1">
      <c r="A3" s="1" t="s">
        <v>123</v>
      </c>
      <c r="B3" s="1" t="s">
        <v>124</v>
      </c>
      <c r="C3" s="1" t="s">
        <v>125</v>
      </c>
      <c r="D3" s="1" t="s">
        <v>126</v>
      </c>
      <c r="E3" s="1" t="s">
        <v>127</v>
      </c>
      <c r="F3" s="1" t="s">
        <v>128</v>
      </c>
      <c r="G3" s="1" t="s">
        <v>129</v>
      </c>
      <c r="H3" s="1" t="s">
        <v>130</v>
      </c>
      <c r="I3" s="1" t="s">
        <v>131</v>
      </c>
      <c r="J3" s="1" t="s">
        <v>132</v>
      </c>
      <c r="K3" s="1" t="s">
        <v>133</v>
      </c>
      <c r="L3" s="1" t="s">
        <v>134</v>
      </c>
      <c r="M3" s="1" t="s">
        <v>135</v>
      </c>
    </row>
    <row r="4" ht="15.0" customHeight="1">
      <c r="A4" s="4" t="s">
        <v>44</v>
      </c>
      <c r="B4" s="10">
        <f>SUMIFS(Data!$R$2:$R$1294,Data!$F$2:$F$1294,"United States",Data!$E$2:$E$1294,"H2 2024",Data!$G$2:$G$1294,"Accounting")</f>
        <v>242597</v>
      </c>
      <c r="C4" s="10">
        <f>SUMIFS(Data!$R$2:$R$1294,Data!$F$2:$F$1294,"United States",Data!$E$2:$E$1294,"H2 2025",Data!$G$2:$G$1294,"Accounting")</f>
        <v>103094</v>
      </c>
      <c r="D4" s="10">
        <f t="shared" ref="D4:D16" si="1">C4-B4</f>
        <v>-139503</v>
      </c>
      <c r="E4" s="6">
        <f t="shared" ref="E4:E15" si="2">IF(B4=0,"N/A",C4/B4-1)</f>
        <v>-0.5750400871</v>
      </c>
      <c r="F4" s="10">
        <f>SUMIFS(Data!$T$2:$T$1294,Data!$F$2:$F$1294,"United States",Data!$E$2:$E$1294,"H2 2024",Data!$G$2:$G$1294,"Accounting")</f>
        <v>56653</v>
      </c>
      <c r="G4" s="10">
        <f>SUMIFS(Data!$T$2:$T$1294,Data!$F$2:$F$1294,"United States",Data!$E$2:$E$1294,"H2 2025",Data!$G$2:$G$1294,"Accounting")</f>
        <v>34264</v>
      </c>
      <c r="H4" s="6">
        <f t="shared" ref="H4:H15" si="3">IF(F4=0,"N/A",G4/F4-1)</f>
        <v>-0.3951953118</v>
      </c>
      <c r="I4" s="5">
        <f>SUMIFS(Data!$J$2:$J$1294,Data!$F$2:$F$1294,"United States",Data!$E$2:$E$1294,"H2 2024",Data!$G$2:$G$1294,"Accounting")</f>
        <v>59135</v>
      </c>
      <c r="J4" s="5">
        <f>SUMIFS(Data!$J$2:$J$1294,Data!$F$2:$F$1294,"United States",Data!$E$2:$E$1294,"H2 2025",Data!$G$2:$G$1294,"Accounting")</f>
        <v>24529</v>
      </c>
      <c r="K4" s="6">
        <f t="shared" ref="K4:K15" si="4">IF(I4=0,"N/A",J4/I4-1)</f>
        <v>-0.5852033483</v>
      </c>
      <c r="L4" s="13">
        <f>IFERROR(SUMIFS(Data!$L$2:$L$1294,Data!$F$2:$F$1294,"United States",Data!$E$2:$E$1294,"H2 2024",Data!$G$2:$G$1294,"Accounting")/SUMIFS(Data!$J$2:$J$1294,Data!$F$2:$F$1294,"United States",Data!$E$2:$E$1294,"H2 2024",Data!$G$2:$G$1294,"Accounting"),"")</f>
        <v>0.1480172487</v>
      </c>
      <c r="M4" s="13">
        <f>IFERROR(SUMIFS(Data!$L$2:$L$1294,Data!$F$2:$F$1294,"United States",Data!$E$2:$E$1294,"H2 2025",Data!$G$2:$G$1294,"Accounting")/SUMIFS(Data!$J$2:$J$1294,Data!$F$2:$F$1294,"United States",Data!$E$2:$E$1294,"H2 2025",Data!$G$2:$G$1294,"Accounting"),"")</f>
        <v>0.144685882</v>
      </c>
    </row>
    <row r="5" ht="15.0" customHeight="1">
      <c r="A5" s="7" t="s">
        <v>27</v>
      </c>
      <c r="B5" s="11">
        <f>SUMIFS(Data!$R$2:$R$1294,Data!$F$2:$F$1294,"United States",Data!$E$2:$E$1294,"H2 2024",Data!$G$2:$G$1294,"Architectural Services")</f>
        <v>226536</v>
      </c>
      <c r="C5" s="11">
        <f>SUMIFS(Data!$R$2:$R$1294,Data!$F$2:$F$1294,"United States",Data!$E$2:$E$1294,"H2 2025",Data!$G$2:$G$1294,"Architectural Services")</f>
        <v>185810</v>
      </c>
      <c r="D5" s="11">
        <f t="shared" si="1"/>
        <v>-40726</v>
      </c>
      <c r="E5" s="9">
        <f t="shared" si="2"/>
        <v>-0.1797771657</v>
      </c>
      <c r="F5" s="11">
        <f>SUMIFS(Data!$T$2:$T$1294,Data!$F$2:$F$1294,"United States",Data!$E$2:$E$1294,"H2 2024",Data!$G$2:$G$1294,"Architectural Services")</f>
        <v>92680</v>
      </c>
      <c r="G5" s="11">
        <f>SUMIFS(Data!$T$2:$T$1294,Data!$F$2:$F$1294,"United States",Data!$E$2:$E$1294,"H2 2025",Data!$G$2:$G$1294,"Architectural Services")</f>
        <v>70227</v>
      </c>
      <c r="H5" s="9">
        <f t="shared" si="3"/>
        <v>-0.2422637031</v>
      </c>
      <c r="I5" s="8">
        <f>SUMIFS(Data!$J$2:$J$1294,Data!$F$2:$F$1294,"United States",Data!$E$2:$E$1294,"H2 2024",Data!$G$2:$G$1294,"Architectural Services")</f>
        <v>51840</v>
      </c>
      <c r="J5" s="8">
        <f>SUMIFS(Data!$J$2:$J$1294,Data!$F$2:$F$1294,"United States",Data!$E$2:$E$1294,"H2 2025",Data!$G$2:$G$1294,"Architectural Services")</f>
        <v>47751</v>
      </c>
      <c r="K5" s="9">
        <f t="shared" si="4"/>
        <v>-0.07887731481</v>
      </c>
      <c r="L5" s="16">
        <f>IFERROR(SUMIFS(Data!$L$2:$L$1294,Data!$F$2:$F$1294,"United States",Data!$E$2:$E$1294,"H2 2024",Data!$G$2:$G$1294,"Architectural Services")/SUMIFS(Data!$J$2:$J$1294,Data!$F$2:$F$1294,"United States",Data!$E$2:$E$1294,"H2 2024",Data!$G$2:$G$1294,"Architectural Services"),"")</f>
        <v>0.1823881173</v>
      </c>
      <c r="M5" s="16">
        <f>IFERROR(SUMIFS(Data!$L$2:$L$1294,Data!$F$2:$F$1294,"United States",Data!$E$2:$E$1294,"H2 2025",Data!$G$2:$G$1294,"Architectural Services")/SUMIFS(Data!$J$2:$J$1294,Data!$F$2:$F$1294,"United States",Data!$E$2:$E$1294,"H2 2025",Data!$G$2:$G$1294,"Architectural Services"),"")</f>
        <v>0.1964566187</v>
      </c>
    </row>
    <row r="6" ht="15.0" customHeight="1">
      <c r="A6" s="4" t="s">
        <v>34</v>
      </c>
      <c r="B6" s="10">
        <f>SUMIFS(Data!$R$2:$R$1294,Data!$F$2:$F$1294,"United States",Data!$E$2:$E$1294,"H2 2024",Data!$G$2:$G$1294,"Catering")</f>
        <v>548002</v>
      </c>
      <c r="C6" s="10">
        <f>SUMIFS(Data!$R$2:$R$1294,Data!$F$2:$F$1294,"United States",Data!$E$2:$E$1294,"H2 2025",Data!$G$2:$G$1294,"Catering")</f>
        <v>436757</v>
      </c>
      <c r="D6" s="10">
        <f t="shared" si="1"/>
        <v>-111245</v>
      </c>
      <c r="E6" s="6">
        <f t="shared" si="2"/>
        <v>-0.2030010839</v>
      </c>
      <c r="F6" s="10">
        <f>SUMIFS(Data!$T$2:$T$1294,Data!$F$2:$F$1294,"United States",Data!$E$2:$E$1294,"H2 2024",Data!$G$2:$G$1294,"Catering")</f>
        <v>163851</v>
      </c>
      <c r="G6" s="10">
        <f>SUMIFS(Data!$T$2:$T$1294,Data!$F$2:$F$1294,"United States",Data!$E$2:$E$1294,"H2 2025",Data!$G$2:$G$1294,"Catering")</f>
        <v>149395</v>
      </c>
      <c r="H6" s="6">
        <f t="shared" si="3"/>
        <v>-0.08822649847</v>
      </c>
      <c r="I6" s="5">
        <f>SUMIFS(Data!$J$2:$J$1294,Data!$F$2:$F$1294,"United States",Data!$E$2:$E$1294,"H2 2024",Data!$G$2:$G$1294,"Catering")</f>
        <v>328154</v>
      </c>
      <c r="J6" s="5">
        <f>SUMIFS(Data!$J$2:$J$1294,Data!$F$2:$F$1294,"United States",Data!$E$2:$E$1294,"H2 2025",Data!$G$2:$G$1294,"Catering")</f>
        <v>277034</v>
      </c>
      <c r="K6" s="6">
        <f t="shared" si="4"/>
        <v>-0.1557805177</v>
      </c>
      <c r="L6" s="13">
        <f>IFERROR(SUMIFS(Data!$L$2:$L$1294,Data!$F$2:$F$1294,"United States",Data!$E$2:$E$1294,"H2 2024",Data!$G$2:$G$1294,"Catering")/SUMIFS(Data!$J$2:$J$1294,Data!$F$2:$F$1294,"United States",Data!$E$2:$E$1294,"H2 2024",Data!$G$2:$G$1294,"Catering"),"")</f>
        <v>0.2461649104</v>
      </c>
      <c r="M6" s="13">
        <f>IFERROR(SUMIFS(Data!$L$2:$L$1294,Data!$F$2:$F$1294,"United States",Data!$E$2:$E$1294,"H2 2025",Data!$G$2:$G$1294,"Catering")/SUMIFS(Data!$J$2:$J$1294,Data!$F$2:$F$1294,"United States",Data!$E$2:$E$1294,"H2 2025",Data!$G$2:$G$1294,"Catering"),"")</f>
        <v>0.2412375376</v>
      </c>
    </row>
    <row r="7" ht="15.0" customHeight="1">
      <c r="A7" s="7" t="s">
        <v>36</v>
      </c>
      <c r="B7" s="11">
        <f>SUMIFS(Data!$R$2:$R$1294,Data!$F$2:$F$1294,"United States",Data!$E$2:$E$1294,"H2 2024",Data!$G$2:$G$1294,"DJ")</f>
        <v>508252</v>
      </c>
      <c r="C7" s="11">
        <f>SUMIFS(Data!$R$2:$R$1294,Data!$F$2:$F$1294,"United States",Data!$E$2:$E$1294,"H2 2025",Data!$G$2:$G$1294,"DJ")</f>
        <v>398442</v>
      </c>
      <c r="D7" s="11">
        <f t="shared" si="1"/>
        <v>-109810</v>
      </c>
      <c r="E7" s="9">
        <f t="shared" si="2"/>
        <v>-0.2160542408</v>
      </c>
      <c r="F7" s="11">
        <f>SUMIFS(Data!$T$2:$T$1294,Data!$F$2:$F$1294,"United States",Data!$E$2:$E$1294,"H2 2024",Data!$G$2:$G$1294,"DJ")</f>
        <v>169105</v>
      </c>
      <c r="G7" s="11">
        <f>SUMIFS(Data!$T$2:$T$1294,Data!$F$2:$F$1294,"United States",Data!$E$2:$E$1294,"H2 2025",Data!$G$2:$G$1294,"DJ")</f>
        <v>185534</v>
      </c>
      <c r="H7" s="9">
        <f t="shared" si="3"/>
        <v>0.09715265663</v>
      </c>
      <c r="I7" s="8">
        <f>SUMIFS(Data!$J$2:$J$1294,Data!$F$2:$F$1294,"United States",Data!$E$2:$E$1294,"H2 2024",Data!$G$2:$G$1294,"DJ")</f>
        <v>122943</v>
      </c>
      <c r="J7" s="8">
        <f>SUMIFS(Data!$J$2:$J$1294,Data!$F$2:$F$1294,"United States",Data!$E$2:$E$1294,"H2 2025",Data!$G$2:$G$1294,"DJ")</f>
        <v>117124</v>
      </c>
      <c r="K7" s="9">
        <f t="shared" si="4"/>
        <v>-0.04733087691</v>
      </c>
      <c r="L7" s="16">
        <f>IFERROR(SUMIFS(Data!$L$2:$L$1294,Data!$F$2:$F$1294,"United States",Data!$E$2:$E$1294,"H2 2024",Data!$G$2:$G$1294,"DJ")/SUMIFS(Data!$J$2:$J$1294,Data!$F$2:$F$1294,"United States",Data!$E$2:$E$1294,"H2 2024",Data!$G$2:$G$1294,"DJ"),"")</f>
        <v>0.2710768405</v>
      </c>
      <c r="M7" s="16">
        <f>IFERROR(SUMIFS(Data!$L$2:$L$1294,Data!$F$2:$F$1294,"United States",Data!$E$2:$E$1294,"H2 2025",Data!$G$2:$G$1294,"DJ")/SUMIFS(Data!$J$2:$J$1294,Data!$F$2:$F$1294,"United States",Data!$E$2:$E$1294,"H2 2025",Data!$G$2:$G$1294,"DJ"),"")</f>
        <v>0.2498036269</v>
      </c>
    </row>
    <row r="8" ht="15.0" customHeight="1">
      <c r="A8" s="4" t="s">
        <v>32</v>
      </c>
      <c r="B8" s="10">
        <f>SUMIFS(Data!$R$2:$R$1294,Data!$F$2:$F$1294,"United States",Data!$E$2:$E$1294,"H2 2024",Data!$G$2:$G$1294,"Gardening")</f>
        <v>14303</v>
      </c>
      <c r="C8" s="10">
        <f>SUMIFS(Data!$R$2:$R$1294,Data!$F$2:$F$1294,"United States",Data!$E$2:$E$1294,"H2 2025",Data!$G$2:$G$1294,"Gardening")</f>
        <v>12106</v>
      </c>
      <c r="D8" s="10">
        <f t="shared" si="1"/>
        <v>-2197</v>
      </c>
      <c r="E8" s="6">
        <f t="shared" si="2"/>
        <v>-0.153604139</v>
      </c>
      <c r="F8" s="10">
        <f>SUMIFS(Data!$T$2:$T$1294,Data!$F$2:$F$1294,"United States",Data!$E$2:$E$1294,"H2 2024",Data!$G$2:$G$1294,"Gardening")</f>
        <v>11363</v>
      </c>
      <c r="G8" s="10">
        <f>SUMIFS(Data!$T$2:$T$1294,Data!$F$2:$F$1294,"United States",Data!$E$2:$E$1294,"H2 2025",Data!$G$2:$G$1294,"Gardening")</f>
        <v>2293</v>
      </c>
      <c r="H8" s="6">
        <f t="shared" si="3"/>
        <v>-0.7982046995</v>
      </c>
      <c r="I8" s="5">
        <f>SUMIFS(Data!$J$2:$J$1294,Data!$F$2:$F$1294,"United States",Data!$E$2:$E$1294,"H2 2024",Data!$G$2:$G$1294,"Gardening")</f>
        <v>11692</v>
      </c>
      <c r="J8" s="5">
        <f>SUMIFS(Data!$J$2:$J$1294,Data!$F$2:$F$1294,"United States",Data!$E$2:$E$1294,"H2 2025",Data!$G$2:$G$1294,"Gardening")</f>
        <v>14199</v>
      </c>
      <c r="K8" s="6">
        <f t="shared" si="4"/>
        <v>0.2144201163</v>
      </c>
      <c r="L8" s="13">
        <f>IFERROR(SUMIFS(Data!$L$2:$L$1294,Data!$F$2:$F$1294,"United States",Data!$E$2:$E$1294,"H2 2024",Data!$G$2:$G$1294,"Gardening")/SUMIFS(Data!$J$2:$J$1294,Data!$F$2:$F$1294,"United States",Data!$E$2:$E$1294,"H2 2024",Data!$G$2:$G$1294,"Gardening"),"")</f>
        <v>0.278224427</v>
      </c>
      <c r="M8" s="13">
        <f>IFERROR(SUMIFS(Data!$L$2:$L$1294,Data!$F$2:$F$1294,"United States",Data!$E$2:$E$1294,"H2 2025",Data!$G$2:$G$1294,"Gardening")/SUMIFS(Data!$J$2:$J$1294,Data!$F$2:$F$1294,"United States",Data!$E$2:$E$1294,"H2 2025",Data!$G$2:$G$1294,"Gardening"),"")</f>
        <v>0.2522008592</v>
      </c>
    </row>
    <row r="9" ht="15.0" customHeight="1">
      <c r="A9" s="7" t="s">
        <v>41</v>
      </c>
      <c r="B9" s="11">
        <f>SUMIFS(Data!$R$2:$R$1294,Data!$F$2:$F$1294,"United States",Data!$E$2:$E$1294,"H2 2024",Data!$G$2:$G$1294,"House Cleaning")</f>
        <v>322055</v>
      </c>
      <c r="C9" s="11">
        <f>SUMIFS(Data!$R$2:$R$1294,Data!$F$2:$F$1294,"United States",Data!$E$2:$E$1294,"H2 2025",Data!$G$2:$G$1294,"House Cleaning")</f>
        <v>206540</v>
      </c>
      <c r="D9" s="11">
        <f t="shared" si="1"/>
        <v>-115515</v>
      </c>
      <c r="E9" s="9">
        <f t="shared" si="2"/>
        <v>-0.3586809706</v>
      </c>
      <c r="F9" s="11">
        <f>SUMIFS(Data!$T$2:$T$1294,Data!$F$2:$F$1294,"United States",Data!$E$2:$E$1294,"H2 2024",Data!$G$2:$G$1294,"House Cleaning")</f>
        <v>165480</v>
      </c>
      <c r="G9" s="11">
        <f>SUMIFS(Data!$T$2:$T$1294,Data!$F$2:$F$1294,"United States",Data!$E$2:$E$1294,"H2 2025",Data!$G$2:$G$1294,"House Cleaning")</f>
        <v>69265</v>
      </c>
      <c r="H9" s="9">
        <f t="shared" si="3"/>
        <v>-0.58142978</v>
      </c>
      <c r="I9" s="8">
        <f>SUMIFS(Data!$J$2:$J$1294,Data!$F$2:$F$1294,"United States",Data!$E$2:$E$1294,"H2 2024",Data!$G$2:$G$1294,"House Cleaning")</f>
        <v>367288</v>
      </c>
      <c r="J9" s="8">
        <f>SUMIFS(Data!$J$2:$J$1294,Data!$F$2:$F$1294,"United States",Data!$E$2:$E$1294,"H2 2025",Data!$G$2:$G$1294,"House Cleaning")</f>
        <v>201332</v>
      </c>
      <c r="K9" s="9">
        <f t="shared" si="4"/>
        <v>-0.4518416066</v>
      </c>
      <c r="L9" s="16">
        <f>IFERROR(SUMIFS(Data!$L$2:$L$1294,Data!$F$2:$F$1294,"United States",Data!$E$2:$E$1294,"H2 2024",Data!$G$2:$G$1294,"House Cleaning")/SUMIFS(Data!$J$2:$J$1294,Data!$F$2:$F$1294,"United States",Data!$E$2:$E$1294,"H2 2024",Data!$G$2:$G$1294,"House Cleaning"),"")</f>
        <v>0.238548496</v>
      </c>
      <c r="M9" s="16">
        <f>IFERROR(SUMIFS(Data!$L$2:$L$1294,Data!$F$2:$F$1294,"United States",Data!$E$2:$E$1294,"H2 2025",Data!$G$2:$G$1294,"House Cleaning")/SUMIFS(Data!$J$2:$J$1294,Data!$F$2:$F$1294,"United States",Data!$E$2:$E$1294,"H2 2025",Data!$G$2:$G$1294,"House Cleaning"),"")</f>
        <v>0.2966393817</v>
      </c>
    </row>
    <row r="10" ht="15.0" customHeight="1">
      <c r="A10" s="4" t="s">
        <v>37</v>
      </c>
      <c r="B10" s="10">
        <f>SUMIFS(Data!$R$2:$R$1294,Data!$F$2:$F$1294,"United States",Data!$E$2:$E$1294,"H2 2024",Data!$G$2:$G$1294,"Motivational Speaking")</f>
        <v>135715</v>
      </c>
      <c r="C10" s="10">
        <f>SUMIFS(Data!$R$2:$R$1294,Data!$F$2:$F$1294,"United States",Data!$E$2:$E$1294,"H2 2025",Data!$G$2:$G$1294,"Motivational Speaking")</f>
        <v>289224</v>
      </c>
      <c r="D10" s="10">
        <f t="shared" si="1"/>
        <v>153509</v>
      </c>
      <c r="E10" s="6">
        <f t="shared" si="2"/>
        <v>1.131112994</v>
      </c>
      <c r="F10" s="10">
        <f>SUMIFS(Data!$T$2:$T$1294,Data!$F$2:$F$1294,"United States",Data!$E$2:$E$1294,"H2 2024",Data!$G$2:$G$1294,"Motivational Speaking")</f>
        <v>39701</v>
      </c>
      <c r="G10" s="10">
        <f>SUMIFS(Data!$T$2:$T$1294,Data!$F$2:$F$1294,"United States",Data!$E$2:$E$1294,"H2 2025",Data!$G$2:$G$1294,"Motivational Speaking")</f>
        <v>164728</v>
      </c>
      <c r="H10" s="6">
        <f t="shared" si="3"/>
        <v>3.149215385</v>
      </c>
      <c r="I10" s="5">
        <f>SUMIFS(Data!$J$2:$J$1294,Data!$F$2:$F$1294,"United States",Data!$E$2:$E$1294,"H2 2024",Data!$G$2:$G$1294,"Motivational Speaking")</f>
        <v>28951</v>
      </c>
      <c r="J10" s="5">
        <f>SUMIFS(Data!$J$2:$J$1294,Data!$F$2:$F$1294,"United States",Data!$E$2:$E$1294,"H2 2025",Data!$G$2:$G$1294,"Motivational Speaking")</f>
        <v>36159</v>
      </c>
      <c r="K10" s="6">
        <f t="shared" si="4"/>
        <v>0.2489724016</v>
      </c>
      <c r="L10" s="13">
        <f>IFERROR(SUMIFS(Data!$L$2:$L$1294,Data!$F$2:$F$1294,"United States",Data!$E$2:$E$1294,"H2 2024",Data!$G$2:$G$1294,"Motivational Speaking")/SUMIFS(Data!$J$2:$J$1294,Data!$F$2:$F$1294,"United States",Data!$E$2:$E$1294,"H2 2024",Data!$G$2:$G$1294,"Motivational Speaking"),"")</f>
        <v>0.1650374771</v>
      </c>
      <c r="M10" s="13">
        <f>IFERROR(SUMIFS(Data!$L$2:$L$1294,Data!$F$2:$F$1294,"United States",Data!$E$2:$E$1294,"H2 2025",Data!$G$2:$G$1294,"Motivational Speaking")/SUMIFS(Data!$J$2:$J$1294,Data!$F$2:$F$1294,"United States",Data!$E$2:$E$1294,"H2 2025",Data!$G$2:$G$1294,"Motivational Speaking"),"")</f>
        <v>0.170026826</v>
      </c>
    </row>
    <row r="11" ht="15.0" customHeight="1">
      <c r="A11" s="7" t="s">
        <v>39</v>
      </c>
      <c r="B11" s="11">
        <f>SUMIFS(Data!$R$2:$R$1294,Data!$F$2:$F$1294,"United States",Data!$E$2:$E$1294,"H2 2024",Data!$G$2:$G$1294,"Personal Trainers")</f>
        <v>707984</v>
      </c>
      <c r="C11" s="11">
        <f>SUMIFS(Data!$R$2:$R$1294,Data!$F$2:$F$1294,"United States",Data!$E$2:$E$1294,"H2 2025",Data!$G$2:$G$1294,"Personal Trainers")</f>
        <v>325178</v>
      </c>
      <c r="D11" s="11">
        <f t="shared" si="1"/>
        <v>-382806</v>
      </c>
      <c r="E11" s="9">
        <f t="shared" si="2"/>
        <v>-0.5406986599</v>
      </c>
      <c r="F11" s="11">
        <f>SUMIFS(Data!$T$2:$T$1294,Data!$F$2:$F$1294,"United States",Data!$E$2:$E$1294,"H2 2024",Data!$G$2:$G$1294,"Personal Trainers")</f>
        <v>261060</v>
      </c>
      <c r="G11" s="11">
        <f>SUMIFS(Data!$T$2:$T$1294,Data!$F$2:$F$1294,"United States",Data!$E$2:$E$1294,"H2 2025",Data!$G$2:$G$1294,"Personal Trainers")</f>
        <v>112943</v>
      </c>
      <c r="H11" s="9">
        <f t="shared" si="3"/>
        <v>-0.5673676549</v>
      </c>
      <c r="I11" s="8">
        <f>SUMIFS(Data!$J$2:$J$1294,Data!$F$2:$F$1294,"United States",Data!$E$2:$E$1294,"H2 2024",Data!$G$2:$G$1294,"Personal Trainers")</f>
        <v>239934</v>
      </c>
      <c r="J11" s="8">
        <f>SUMIFS(Data!$J$2:$J$1294,Data!$F$2:$F$1294,"United States",Data!$E$2:$E$1294,"H2 2025",Data!$G$2:$G$1294,"Personal Trainers")</f>
        <v>202682</v>
      </c>
      <c r="K11" s="9">
        <f t="shared" si="4"/>
        <v>-0.155259363</v>
      </c>
      <c r="L11" s="16">
        <f>IFERROR(SUMIFS(Data!$L$2:$L$1294,Data!$F$2:$F$1294,"United States",Data!$E$2:$E$1294,"H2 2024",Data!$G$2:$G$1294,"Personal Trainers")/SUMIFS(Data!$J$2:$J$1294,Data!$F$2:$F$1294,"United States",Data!$E$2:$E$1294,"H2 2024",Data!$G$2:$G$1294,"Personal Trainers"),"")</f>
        <v>0.2776638576</v>
      </c>
      <c r="M11" s="16">
        <f>IFERROR(SUMIFS(Data!$L$2:$L$1294,Data!$F$2:$F$1294,"United States",Data!$E$2:$E$1294,"H2 2025",Data!$G$2:$G$1294,"Personal Trainers")/SUMIFS(Data!$J$2:$J$1294,Data!$F$2:$F$1294,"United States",Data!$E$2:$E$1294,"H2 2025",Data!$G$2:$G$1294,"Personal Trainers"),"")</f>
        <v>0.2438006335</v>
      </c>
    </row>
    <row r="12" ht="15.0" customHeight="1">
      <c r="A12" s="4" t="s">
        <v>33</v>
      </c>
      <c r="B12" s="10">
        <f>SUMIFS(Data!$R$2:$R$1294,Data!$F$2:$F$1294,"United States",Data!$E$2:$E$1294,"H2 2024",Data!$G$2:$G$1294,"Pest Control")</f>
        <v>119934</v>
      </c>
      <c r="C12" s="10">
        <f>SUMIFS(Data!$R$2:$R$1294,Data!$F$2:$F$1294,"United States",Data!$E$2:$E$1294,"H2 2025",Data!$G$2:$G$1294,"Pest Control")</f>
        <v>67245</v>
      </c>
      <c r="D12" s="10">
        <f t="shared" si="1"/>
        <v>-52689</v>
      </c>
      <c r="E12" s="6">
        <f t="shared" si="2"/>
        <v>-0.4393166241</v>
      </c>
      <c r="F12" s="10">
        <f>SUMIFS(Data!$T$2:$T$1294,Data!$F$2:$F$1294,"United States",Data!$E$2:$E$1294,"H2 2024",Data!$G$2:$G$1294,"Pest Control")</f>
        <v>29666</v>
      </c>
      <c r="G12" s="10">
        <f>SUMIFS(Data!$T$2:$T$1294,Data!$F$2:$F$1294,"United States",Data!$E$2:$E$1294,"H2 2025",Data!$G$2:$G$1294,"Pest Control")</f>
        <v>14715</v>
      </c>
      <c r="H12" s="6">
        <f t="shared" si="3"/>
        <v>-0.5039776175</v>
      </c>
      <c r="I12" s="5">
        <f>SUMIFS(Data!$J$2:$J$1294,Data!$F$2:$F$1294,"United States",Data!$E$2:$E$1294,"H2 2024",Data!$G$2:$G$1294,"Pest Control")</f>
        <v>31283</v>
      </c>
      <c r="J12" s="5">
        <f>SUMIFS(Data!$J$2:$J$1294,Data!$F$2:$F$1294,"United States",Data!$E$2:$E$1294,"H2 2025",Data!$G$2:$G$1294,"Pest Control")</f>
        <v>25073</v>
      </c>
      <c r="K12" s="6">
        <f t="shared" si="4"/>
        <v>-0.198510373</v>
      </c>
      <c r="L12" s="13">
        <f>IFERROR(SUMIFS(Data!$L$2:$L$1294,Data!$F$2:$F$1294,"United States",Data!$E$2:$E$1294,"H2 2024",Data!$G$2:$G$1294,"Pest Control")/SUMIFS(Data!$J$2:$J$1294,Data!$F$2:$F$1294,"United States",Data!$E$2:$E$1294,"H2 2024",Data!$G$2:$G$1294,"Pest Control"),"")</f>
        <v>0.225266119</v>
      </c>
      <c r="M12" s="13">
        <f>IFERROR(SUMIFS(Data!$L$2:$L$1294,Data!$F$2:$F$1294,"United States",Data!$E$2:$E$1294,"H2 2025",Data!$G$2:$G$1294,"Pest Control")/SUMIFS(Data!$J$2:$J$1294,Data!$F$2:$F$1294,"United States",Data!$E$2:$E$1294,"H2 2025",Data!$G$2:$G$1294,"Pest Control"),"")</f>
        <v>0.2217923663</v>
      </c>
    </row>
    <row r="13" ht="15.0" customHeight="1">
      <c r="A13" s="7" t="s">
        <v>43</v>
      </c>
      <c r="B13" s="11">
        <f>SUMIFS(Data!$R$2:$R$1294,Data!$F$2:$F$1294,"United States",Data!$E$2:$E$1294,"H2 2024",Data!$G$2:$G$1294,"Security Guard Services")</f>
        <v>870955</v>
      </c>
      <c r="C13" s="11">
        <f>SUMIFS(Data!$R$2:$R$1294,Data!$F$2:$F$1294,"United States",Data!$E$2:$E$1294,"H2 2025",Data!$G$2:$G$1294,"Security Guard Services")</f>
        <v>738539</v>
      </c>
      <c r="D13" s="11">
        <f t="shared" si="1"/>
        <v>-132416</v>
      </c>
      <c r="E13" s="9">
        <f t="shared" si="2"/>
        <v>-0.1520354094</v>
      </c>
      <c r="F13" s="11">
        <f>SUMIFS(Data!$T$2:$T$1294,Data!$F$2:$F$1294,"United States",Data!$E$2:$E$1294,"H2 2024",Data!$G$2:$G$1294,"Security Guard Services")</f>
        <v>284334</v>
      </c>
      <c r="G13" s="11">
        <f>SUMIFS(Data!$T$2:$T$1294,Data!$F$2:$F$1294,"United States",Data!$E$2:$E$1294,"H2 2025",Data!$G$2:$G$1294,"Security Guard Services")</f>
        <v>331510</v>
      </c>
      <c r="H13" s="9">
        <f t="shared" si="3"/>
        <v>0.1659175477</v>
      </c>
      <c r="I13" s="8">
        <f>SUMIFS(Data!$J$2:$J$1294,Data!$F$2:$F$1294,"United States",Data!$E$2:$E$1294,"H2 2024",Data!$G$2:$G$1294,"Security Guard Services")</f>
        <v>188579</v>
      </c>
      <c r="J13" s="8">
        <f>SUMIFS(Data!$J$2:$J$1294,Data!$F$2:$F$1294,"United States",Data!$E$2:$E$1294,"H2 2025",Data!$G$2:$G$1294,"Security Guard Services")</f>
        <v>110942</v>
      </c>
      <c r="K13" s="9">
        <f t="shared" si="4"/>
        <v>-0.4116948335</v>
      </c>
      <c r="L13" s="16">
        <f>IFERROR(SUMIFS(Data!$L$2:$L$1294,Data!$F$2:$F$1294,"United States",Data!$E$2:$E$1294,"H2 2024",Data!$G$2:$G$1294,"Security Guard Services")/SUMIFS(Data!$J$2:$J$1294,Data!$F$2:$F$1294,"United States",Data!$E$2:$E$1294,"H2 2024",Data!$G$2:$G$1294,"Security Guard Services"),"")</f>
        <v>0.1468562247</v>
      </c>
      <c r="M13" s="16">
        <f>IFERROR(SUMIFS(Data!$L$2:$L$1294,Data!$F$2:$F$1294,"United States",Data!$E$2:$E$1294,"H2 2025",Data!$G$2:$G$1294,"Security Guard Services")/SUMIFS(Data!$J$2:$J$1294,Data!$F$2:$F$1294,"United States",Data!$E$2:$E$1294,"H2 2025",Data!$G$2:$G$1294,"Security Guard Services"),"")</f>
        <v>0.2166807882</v>
      </c>
    </row>
    <row r="14" ht="15.0" customHeight="1">
      <c r="A14" s="4" t="s">
        <v>46</v>
      </c>
      <c r="B14" s="10">
        <f>SUMIFS(Data!$R$2:$R$1294,Data!$F$2:$F$1294,"United States",Data!$E$2:$E$1294,"H2 2024",Data!$G$2:$G$1294,"Web Design")</f>
        <v>1245188</v>
      </c>
      <c r="C14" s="10">
        <f>SUMIFS(Data!$R$2:$R$1294,Data!$F$2:$F$1294,"United States",Data!$E$2:$E$1294,"H2 2025",Data!$G$2:$G$1294,"Web Design")</f>
        <v>639295</v>
      </c>
      <c r="D14" s="10">
        <f t="shared" si="1"/>
        <v>-605893</v>
      </c>
      <c r="E14" s="6">
        <f t="shared" si="2"/>
        <v>-0.4865875675</v>
      </c>
      <c r="F14" s="10">
        <f>SUMIFS(Data!$T$2:$T$1294,Data!$F$2:$F$1294,"United States",Data!$E$2:$E$1294,"H2 2024",Data!$G$2:$G$1294,"Web Design")</f>
        <v>399614</v>
      </c>
      <c r="G14" s="10">
        <f>SUMIFS(Data!$T$2:$T$1294,Data!$F$2:$F$1294,"United States",Data!$E$2:$E$1294,"H2 2025",Data!$G$2:$G$1294,"Web Design")</f>
        <v>322279</v>
      </c>
      <c r="H14" s="6">
        <f t="shared" si="3"/>
        <v>-0.1935242509</v>
      </c>
      <c r="I14" s="5">
        <f>SUMIFS(Data!$J$2:$J$1294,Data!$F$2:$F$1294,"United States",Data!$E$2:$E$1294,"H2 2024",Data!$G$2:$G$1294,"Web Design")</f>
        <v>148506</v>
      </c>
      <c r="J14" s="5">
        <f>SUMIFS(Data!$J$2:$J$1294,Data!$F$2:$F$1294,"United States",Data!$E$2:$E$1294,"H2 2025",Data!$G$2:$G$1294,"Web Design")</f>
        <v>99176</v>
      </c>
      <c r="K14" s="6">
        <f t="shared" si="4"/>
        <v>-0.332175131</v>
      </c>
      <c r="L14" s="13">
        <f>IFERROR(SUMIFS(Data!$L$2:$L$1294,Data!$F$2:$F$1294,"United States",Data!$E$2:$E$1294,"H2 2024",Data!$G$2:$G$1294,"Web Design")/SUMIFS(Data!$J$2:$J$1294,Data!$F$2:$F$1294,"United States",Data!$E$2:$E$1294,"H2 2024",Data!$G$2:$G$1294,"Web Design"),"")</f>
        <v>0.1631179885</v>
      </c>
      <c r="M14" s="13">
        <f>IFERROR(SUMIFS(Data!$L$2:$L$1294,Data!$F$2:$F$1294,"United States",Data!$E$2:$E$1294,"H2 2025",Data!$G$2:$G$1294,"Web Design")/SUMIFS(Data!$J$2:$J$1294,Data!$F$2:$F$1294,"United States",Data!$E$2:$E$1294,"H2 2025",Data!$G$2:$G$1294,"Web Design"),"")</f>
        <v>0.1503992902</v>
      </c>
    </row>
    <row r="15" ht="15.0" customHeight="1">
      <c r="A15" s="7" t="s">
        <v>38</v>
      </c>
      <c r="B15" s="11">
        <f>SUMIFS(Data!$R$2:$R$1294,Data!$F$2:$F$1294,"United States",Data!$E$2:$E$1294,"H2 2024",Data!$G$2:$G$1294,"Wedding Photography")</f>
        <v>204245</v>
      </c>
      <c r="C15" s="11">
        <f>SUMIFS(Data!$R$2:$R$1294,Data!$F$2:$F$1294,"United States",Data!$E$2:$E$1294,"H2 2025",Data!$G$2:$G$1294,"Wedding Photography")</f>
        <v>150915</v>
      </c>
      <c r="D15" s="11">
        <f t="shared" si="1"/>
        <v>-53330</v>
      </c>
      <c r="E15" s="9">
        <f t="shared" si="2"/>
        <v>-0.2611079831</v>
      </c>
      <c r="F15" s="11">
        <f>SUMIFS(Data!$T$2:$T$1294,Data!$F$2:$F$1294,"United States",Data!$E$2:$E$1294,"H2 2024",Data!$G$2:$G$1294,"Wedding Photography")</f>
        <v>64479</v>
      </c>
      <c r="G15" s="11">
        <f>SUMIFS(Data!$T$2:$T$1294,Data!$F$2:$F$1294,"United States",Data!$E$2:$E$1294,"H2 2025",Data!$G$2:$G$1294,"Wedding Photography")</f>
        <v>44568</v>
      </c>
      <c r="H15" s="9">
        <f t="shared" si="3"/>
        <v>-0.3087982134</v>
      </c>
      <c r="I15" s="8">
        <f>SUMIFS(Data!$J$2:$J$1294,Data!$F$2:$F$1294,"United States",Data!$E$2:$E$1294,"H2 2024",Data!$G$2:$G$1294,"Wedding Photography")</f>
        <v>73831</v>
      </c>
      <c r="J15" s="8">
        <f>SUMIFS(Data!$J$2:$J$1294,Data!$F$2:$F$1294,"United States",Data!$E$2:$E$1294,"H2 2025",Data!$G$2:$G$1294,"Wedding Photography")</f>
        <v>64407</v>
      </c>
      <c r="K15" s="9">
        <f t="shared" si="4"/>
        <v>-0.12764286</v>
      </c>
      <c r="L15" s="16">
        <f>IFERROR(SUMIFS(Data!$L$2:$L$1294,Data!$F$2:$F$1294,"United States",Data!$E$2:$E$1294,"H2 2024",Data!$G$2:$G$1294,"Wedding Photography")/SUMIFS(Data!$J$2:$J$1294,Data!$F$2:$F$1294,"United States",Data!$E$2:$E$1294,"H2 2024",Data!$G$2:$G$1294,"Wedding Photography"),"")</f>
        <v>0.2614619875</v>
      </c>
      <c r="M15" s="16">
        <f>IFERROR(SUMIFS(Data!$L$2:$L$1294,Data!$F$2:$F$1294,"United States",Data!$E$2:$E$1294,"H2 2025",Data!$G$2:$G$1294,"Wedding Photography")/SUMIFS(Data!$J$2:$J$1294,Data!$F$2:$F$1294,"United States",Data!$E$2:$E$1294,"H2 2025",Data!$G$2:$G$1294,"Wedding Photography"),"")</f>
        <v>0.2783393109</v>
      </c>
    </row>
    <row r="16" ht="15.0" customHeight="1">
      <c r="A16" s="27" t="s">
        <v>136</v>
      </c>
      <c r="B16" s="28">
        <f t="shared" ref="B16:C16" si="5">SUM(B4:B15)</f>
        <v>5145766</v>
      </c>
      <c r="C16" s="28">
        <f t="shared" si="5"/>
        <v>3553145</v>
      </c>
      <c r="D16" s="28">
        <f t="shared" si="1"/>
        <v>-1592621</v>
      </c>
      <c r="E16" s="29">
        <f>IF(B16=0,"",C16/B16-1)</f>
        <v>-0.3095012482</v>
      </c>
      <c r="F16" s="28">
        <f t="shared" ref="F16:G16" si="6">SUM(F4:F15)</f>
        <v>1737986</v>
      </c>
      <c r="G16" s="28">
        <f t="shared" si="6"/>
        <v>1501721</v>
      </c>
      <c r="H16" s="2"/>
      <c r="I16" s="30">
        <f t="shared" ref="I16:J16" si="7">SUM(I4:I15)</f>
        <v>1652136</v>
      </c>
      <c r="J16" s="30">
        <f t="shared" si="7"/>
        <v>1220408</v>
      </c>
      <c r="K16" s="2"/>
      <c r="L16" s="2"/>
      <c r="M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ht="17.25" customHeight="1">
      <c r="A38" s="22" t="s">
        <v>137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ht="15.0" customHeight="1">
      <c r="A39" s="1" t="s">
        <v>3</v>
      </c>
      <c r="B39" s="1" t="s">
        <v>101</v>
      </c>
      <c r="C39" s="1" t="s">
        <v>138</v>
      </c>
      <c r="D39" s="1" t="s">
        <v>103</v>
      </c>
      <c r="E39" s="1" t="s">
        <v>104</v>
      </c>
      <c r="F39" s="1" t="s">
        <v>139</v>
      </c>
      <c r="G39" s="1" t="s">
        <v>140</v>
      </c>
      <c r="H39" s="1" t="s">
        <v>105</v>
      </c>
      <c r="I39" s="1" t="s">
        <v>106</v>
      </c>
      <c r="J39" s="1" t="s">
        <v>107</v>
      </c>
      <c r="K39" s="2"/>
      <c r="L39" s="2"/>
      <c r="M39" s="2"/>
    </row>
    <row r="40" ht="15.0" customHeight="1">
      <c r="A40" s="4" t="s">
        <v>52</v>
      </c>
      <c r="B40" s="5">
        <f>SUMIFS(Data!$J$2:$J$1294,Data!$F$2:$F$1294,"United States",Data!$D$2:$D$1294,"2024-07",Data!$G$2:$G$1294,"Web Design")</f>
        <v>24101</v>
      </c>
      <c r="C40" s="5">
        <f>SUMIFS(Data!$L$2:$L$1294,Data!$F$2:$F$1294,"United States",Data!$D$2:$D$1294,"2024-07",Data!$G$2:$G$1294,"Web Design")</f>
        <v>3827</v>
      </c>
      <c r="D40" s="13">
        <f t="shared" ref="D40:D57" si="8">IF(B40=0,"",C40/B40)</f>
        <v>0.1587900917</v>
      </c>
      <c r="E40" s="5">
        <f>SUMIFS(Data!$M$2:$M$1294,Data!$F$2:$F$1294,"United States",Data!$D$2:$D$1294,"2024-07",Data!$G$2:$G$1294,"Web Design")</f>
        <v>3543</v>
      </c>
      <c r="F40" s="20">
        <f t="shared" ref="F40:F57" si="9">IF(E40=0,"",H40/E40)</f>
        <v>56.89867344</v>
      </c>
      <c r="G40" s="13">
        <f>IF(E40=0,"",SUMIFS(Data!$N$2:$N$1294,Data!$F$2:$F$1294,"United States",Data!$D$2:$D$1294,"2024-07",Data!$G$2:$G$1294,"Web Design")/E40)</f>
        <v>0.9017781541</v>
      </c>
      <c r="H40" s="10">
        <f>SUMIFS(Data!$R$2:$R$1294,Data!$F$2:$F$1294,"United States",Data!$D$2:$D$1294,"2024-07",Data!$G$2:$G$1294,"Web Design")</f>
        <v>201592</v>
      </c>
      <c r="I40" s="10">
        <f>SUMIFS(Data!$S$2:$S$1294,Data!$F$2:$F$1294,"United States",Data!$D$2:$D$1294,"2024-07",Data!$G$2:$G$1294,"Web Design")</f>
        <v>137958</v>
      </c>
      <c r="J40" s="10">
        <f>SUMIFS(Data!$T$2:$T$1294,Data!$F$2:$F$1294,"United States",Data!$D$2:$D$1294,"2024-07",Data!$G$2:$G$1294,"Web Design")</f>
        <v>63634</v>
      </c>
      <c r="K40" s="2"/>
      <c r="L40" s="2"/>
      <c r="M40" s="2"/>
    </row>
    <row r="41" ht="15.0" customHeight="1">
      <c r="A41" s="7" t="s">
        <v>24</v>
      </c>
      <c r="B41" s="8">
        <f>SUMIFS(Data!$J$2:$J$1294,Data!$F$2:$F$1294,"United States",Data!$D$2:$D$1294,"2024-08",Data!$G$2:$G$1294,"Web Design")</f>
        <v>27010</v>
      </c>
      <c r="C41" s="8">
        <f>SUMIFS(Data!$L$2:$L$1294,Data!$F$2:$F$1294,"United States",Data!$D$2:$D$1294,"2024-08",Data!$G$2:$G$1294,"Web Design")</f>
        <v>4218</v>
      </c>
      <c r="D41" s="16">
        <f t="shared" si="8"/>
        <v>0.1561643836</v>
      </c>
      <c r="E41" s="8">
        <f>SUMIFS(Data!$M$2:$M$1294,Data!$F$2:$F$1294,"United States",Data!$D$2:$D$1294,"2024-08",Data!$G$2:$G$1294,"Web Design")</f>
        <v>3912</v>
      </c>
      <c r="F41" s="21">
        <f t="shared" si="9"/>
        <v>52.99744376</v>
      </c>
      <c r="G41" s="16">
        <f>IF(E41=0,"",SUMIFS(Data!$N$2:$N$1294,Data!$F$2:$F$1294,"United States",Data!$D$2:$D$1294,"2024-08",Data!$G$2:$G$1294,"Web Design")/E41)</f>
        <v>0.9084867076</v>
      </c>
      <c r="H41" s="11">
        <f>SUMIFS(Data!$R$2:$R$1294,Data!$F$2:$F$1294,"United States",Data!$D$2:$D$1294,"2024-08",Data!$G$2:$G$1294,"Web Design")</f>
        <v>207326</v>
      </c>
      <c r="I41" s="11">
        <f>SUMIFS(Data!$S$2:$S$1294,Data!$F$2:$F$1294,"United States",Data!$D$2:$D$1294,"2024-08",Data!$G$2:$G$1294,"Web Design")</f>
        <v>158206</v>
      </c>
      <c r="J41" s="11">
        <f>SUMIFS(Data!$T$2:$T$1294,Data!$F$2:$F$1294,"United States",Data!$D$2:$D$1294,"2024-08",Data!$G$2:$G$1294,"Web Design")</f>
        <v>49120</v>
      </c>
      <c r="K41" s="2"/>
      <c r="L41" s="2"/>
      <c r="M41" s="2"/>
    </row>
    <row r="42" ht="15.0" customHeight="1">
      <c r="A42" s="4" t="s">
        <v>58</v>
      </c>
      <c r="B42" s="5">
        <f>SUMIFS(Data!$J$2:$J$1294,Data!$F$2:$F$1294,"United States",Data!$D$2:$D$1294,"2024-09",Data!$G$2:$G$1294,"Web Design")</f>
        <v>25341</v>
      </c>
      <c r="C42" s="5">
        <f>SUMIFS(Data!$L$2:$L$1294,Data!$F$2:$F$1294,"United States",Data!$D$2:$D$1294,"2024-09",Data!$G$2:$G$1294,"Web Design")</f>
        <v>4077</v>
      </c>
      <c r="D42" s="13">
        <f t="shared" si="8"/>
        <v>0.1608855215</v>
      </c>
      <c r="E42" s="5">
        <f>SUMIFS(Data!$M$2:$M$1294,Data!$F$2:$F$1294,"United States",Data!$D$2:$D$1294,"2024-09",Data!$G$2:$G$1294,"Web Design")</f>
        <v>3814</v>
      </c>
      <c r="F42" s="20">
        <f t="shared" si="9"/>
        <v>59.78342947</v>
      </c>
      <c r="G42" s="13">
        <f>IF(E42=0,"",SUMIFS(Data!$N$2:$N$1294,Data!$F$2:$F$1294,"United States",Data!$D$2:$D$1294,"2024-09",Data!$G$2:$G$1294,"Web Design")/E42)</f>
        <v>0.9992134242</v>
      </c>
      <c r="H42" s="10">
        <f>SUMIFS(Data!$R$2:$R$1294,Data!$F$2:$F$1294,"United States",Data!$D$2:$D$1294,"2024-09",Data!$G$2:$G$1294,"Web Design")</f>
        <v>228014</v>
      </c>
      <c r="I42" s="10">
        <f>SUMIFS(Data!$S$2:$S$1294,Data!$F$2:$F$1294,"United States",Data!$D$2:$D$1294,"2024-09",Data!$G$2:$G$1294,"Web Design")</f>
        <v>151856</v>
      </c>
      <c r="J42" s="10">
        <f>SUMIFS(Data!$T$2:$T$1294,Data!$F$2:$F$1294,"United States",Data!$D$2:$D$1294,"2024-09",Data!$G$2:$G$1294,"Web Design")</f>
        <v>76160</v>
      </c>
      <c r="K42" s="2"/>
      <c r="L42" s="2"/>
      <c r="M42" s="2"/>
    </row>
    <row r="43" ht="15.0" customHeight="1">
      <c r="A43" s="7" t="s">
        <v>56</v>
      </c>
      <c r="B43" s="8">
        <f>SUMIFS(Data!$J$2:$J$1294,Data!$F$2:$F$1294,"United States",Data!$D$2:$D$1294,"2024-10",Data!$G$2:$G$1294,"Web Design")</f>
        <v>26679</v>
      </c>
      <c r="C43" s="8">
        <f>SUMIFS(Data!$L$2:$L$1294,Data!$F$2:$F$1294,"United States",Data!$D$2:$D$1294,"2024-10",Data!$G$2:$G$1294,"Web Design")</f>
        <v>4501</v>
      </c>
      <c r="D43" s="16">
        <f t="shared" si="8"/>
        <v>0.1687094719</v>
      </c>
      <c r="E43" s="8">
        <f>SUMIFS(Data!$M$2:$M$1294,Data!$F$2:$F$1294,"United States",Data!$D$2:$D$1294,"2024-10",Data!$G$2:$G$1294,"Web Design")</f>
        <v>4191</v>
      </c>
      <c r="F43" s="21">
        <f t="shared" si="9"/>
        <v>57.8721069</v>
      </c>
      <c r="G43" s="16">
        <f>IF(E43=0,"",SUMIFS(Data!$N$2:$N$1294,Data!$F$2:$F$1294,"United States",Data!$D$2:$D$1294,"2024-10",Data!$G$2:$G$1294,"Web Design")/E43)</f>
        <v>0.9964209019</v>
      </c>
      <c r="H43" s="11">
        <f>SUMIFS(Data!$R$2:$R$1294,Data!$F$2:$F$1294,"United States",Data!$D$2:$D$1294,"2024-10",Data!$G$2:$G$1294,"Web Design")</f>
        <v>242542</v>
      </c>
      <c r="I43" s="11">
        <f>SUMIFS(Data!$S$2:$S$1294,Data!$F$2:$F$1294,"United States",Data!$D$2:$D$1294,"2024-10",Data!$G$2:$G$1294,"Web Design")</f>
        <v>151378</v>
      </c>
      <c r="J43" s="11">
        <f>SUMIFS(Data!$T$2:$T$1294,Data!$F$2:$F$1294,"United States",Data!$D$2:$D$1294,"2024-10",Data!$G$2:$G$1294,"Web Design")</f>
        <v>91163</v>
      </c>
      <c r="K43" s="2"/>
      <c r="L43" s="2"/>
      <c r="M43" s="2"/>
    </row>
    <row r="44" ht="15.0" customHeight="1">
      <c r="A44" s="4" t="s">
        <v>54</v>
      </c>
      <c r="B44" s="5">
        <f>SUMIFS(Data!$J$2:$J$1294,Data!$F$2:$F$1294,"United States",Data!$D$2:$D$1294,"2024-11",Data!$G$2:$G$1294,"Web Design")</f>
        <v>24399</v>
      </c>
      <c r="C44" s="5">
        <f>SUMIFS(Data!$L$2:$L$1294,Data!$F$2:$F$1294,"United States",Data!$D$2:$D$1294,"2024-11",Data!$G$2:$G$1294,"Web Design")</f>
        <v>4048</v>
      </c>
      <c r="D44" s="13">
        <f t="shared" si="8"/>
        <v>0.1659084389</v>
      </c>
      <c r="E44" s="5">
        <f>SUMIFS(Data!$M$2:$M$1294,Data!$F$2:$F$1294,"United States",Data!$D$2:$D$1294,"2024-11",Data!$G$2:$G$1294,"Web Design")</f>
        <v>3780</v>
      </c>
      <c r="F44" s="20">
        <f t="shared" si="9"/>
        <v>55.36031746</v>
      </c>
      <c r="G44" s="13">
        <f>IF(E44=0,"",SUMIFS(Data!$N$2:$N$1294,Data!$F$2:$F$1294,"United States",Data!$D$2:$D$1294,"2024-11",Data!$G$2:$G$1294,"Web Design")/E44)</f>
        <v>0.9992063492</v>
      </c>
      <c r="H44" s="10">
        <f>SUMIFS(Data!$R$2:$R$1294,Data!$F$2:$F$1294,"United States",Data!$D$2:$D$1294,"2024-11",Data!$G$2:$G$1294,"Web Design")</f>
        <v>209262</v>
      </c>
      <c r="I44" s="10">
        <f>SUMIFS(Data!$S$2:$S$1294,Data!$F$2:$F$1294,"United States",Data!$D$2:$D$1294,"2024-11",Data!$G$2:$G$1294,"Web Design")</f>
        <v>142610</v>
      </c>
      <c r="J44" s="10">
        <f>SUMIFS(Data!$T$2:$T$1294,Data!$F$2:$F$1294,"United States",Data!$D$2:$D$1294,"2024-11",Data!$G$2:$G$1294,"Web Design")</f>
        <v>66653</v>
      </c>
      <c r="K44" s="2"/>
      <c r="L44" s="2"/>
      <c r="M44" s="2"/>
    </row>
    <row r="45" ht="15.0" customHeight="1">
      <c r="A45" s="7" t="s">
        <v>50</v>
      </c>
      <c r="B45" s="8">
        <f>SUMIFS(Data!$J$2:$J$1294,Data!$F$2:$F$1294,"United States",Data!$D$2:$D$1294,"2024-12",Data!$G$2:$G$1294,"Web Design")</f>
        <v>20976</v>
      </c>
      <c r="C45" s="8">
        <f>SUMIFS(Data!$L$2:$L$1294,Data!$F$2:$F$1294,"United States",Data!$D$2:$D$1294,"2024-12",Data!$G$2:$G$1294,"Web Design")</f>
        <v>3553</v>
      </c>
      <c r="D45" s="16">
        <f t="shared" si="8"/>
        <v>0.169384058</v>
      </c>
      <c r="E45" s="8">
        <f>SUMIFS(Data!$M$2:$M$1294,Data!$F$2:$F$1294,"United States",Data!$D$2:$D$1294,"2024-12",Data!$G$2:$G$1294,"Web Design")</f>
        <v>3262</v>
      </c>
      <c r="F45" s="21">
        <f t="shared" si="9"/>
        <v>47.96198651</v>
      </c>
      <c r="G45" s="16">
        <f>IF(E45=0,"",SUMIFS(Data!$N$2:$N$1294,Data!$F$2:$F$1294,"United States",Data!$D$2:$D$1294,"2024-12",Data!$G$2:$G$1294,"Web Design")/E45)</f>
        <v>1</v>
      </c>
      <c r="H45" s="11">
        <f>SUMIFS(Data!$R$2:$R$1294,Data!$F$2:$F$1294,"United States",Data!$D$2:$D$1294,"2024-12",Data!$G$2:$G$1294,"Web Design")</f>
        <v>156452</v>
      </c>
      <c r="I45" s="11">
        <f>SUMIFS(Data!$S$2:$S$1294,Data!$F$2:$F$1294,"United States",Data!$D$2:$D$1294,"2024-12",Data!$G$2:$G$1294,"Web Design")</f>
        <v>103569</v>
      </c>
      <c r="J45" s="11">
        <f>SUMIFS(Data!$T$2:$T$1294,Data!$F$2:$F$1294,"United States",Data!$D$2:$D$1294,"2024-12",Data!$G$2:$G$1294,"Web Design")</f>
        <v>52884</v>
      </c>
      <c r="K45" s="2"/>
      <c r="L45" s="2"/>
      <c r="M45" s="2"/>
    </row>
    <row r="46" ht="15.0" customHeight="1">
      <c r="A46" s="4" t="s">
        <v>68</v>
      </c>
      <c r="B46" s="5">
        <f>SUMIFS(Data!$J$2:$J$1294,Data!$F$2:$F$1294,"United States",Data!$D$2:$D$1294,"2025-01",Data!$G$2:$G$1294,"Web Design")</f>
        <v>28416</v>
      </c>
      <c r="C46" s="5">
        <f>SUMIFS(Data!$L$2:$L$1294,Data!$F$2:$F$1294,"United States",Data!$D$2:$D$1294,"2025-01",Data!$G$2:$G$1294,"Web Design")</f>
        <v>5068</v>
      </c>
      <c r="D46" s="13">
        <f t="shared" si="8"/>
        <v>0.1783502252</v>
      </c>
      <c r="E46" s="5">
        <f>SUMIFS(Data!$M$2:$M$1294,Data!$F$2:$F$1294,"United States",Data!$D$2:$D$1294,"2025-01",Data!$G$2:$G$1294,"Web Design")</f>
        <v>4705</v>
      </c>
      <c r="F46" s="20">
        <f t="shared" si="9"/>
        <v>51.13517535</v>
      </c>
      <c r="G46" s="13">
        <f>IF(E46=0,"",SUMIFS(Data!$N$2:$N$1294,Data!$F$2:$F$1294,"United States",Data!$D$2:$D$1294,"2025-01",Data!$G$2:$G$1294,"Web Design")/E46)</f>
        <v>0.9995749203</v>
      </c>
      <c r="H46" s="10">
        <f>SUMIFS(Data!$R$2:$R$1294,Data!$F$2:$F$1294,"United States",Data!$D$2:$D$1294,"2025-01",Data!$G$2:$G$1294,"Web Design")</f>
        <v>240591</v>
      </c>
      <c r="I46" s="10">
        <f>SUMIFS(Data!$S$2:$S$1294,Data!$F$2:$F$1294,"United States",Data!$D$2:$D$1294,"2025-01",Data!$G$2:$G$1294,"Web Design")</f>
        <v>150367</v>
      </c>
      <c r="J46" s="10">
        <f>SUMIFS(Data!$T$2:$T$1294,Data!$F$2:$F$1294,"United States",Data!$D$2:$D$1294,"2025-01",Data!$G$2:$G$1294,"Web Design")</f>
        <v>90224</v>
      </c>
      <c r="K46" s="2"/>
      <c r="L46" s="2"/>
      <c r="M46" s="2"/>
    </row>
    <row r="47" ht="15.0" customHeight="1">
      <c r="A47" s="7" t="s">
        <v>66</v>
      </c>
      <c r="B47" s="8">
        <f>SUMIFS(Data!$J$2:$J$1294,Data!$F$2:$F$1294,"United States",Data!$D$2:$D$1294,"2025-02",Data!$G$2:$G$1294,"Web Design")</f>
        <v>21226</v>
      </c>
      <c r="C47" s="8">
        <f>SUMIFS(Data!$L$2:$L$1294,Data!$F$2:$F$1294,"United States",Data!$D$2:$D$1294,"2025-02",Data!$G$2:$G$1294,"Web Design")</f>
        <v>3570</v>
      </c>
      <c r="D47" s="16">
        <f t="shared" si="8"/>
        <v>0.1681899557</v>
      </c>
      <c r="E47" s="8">
        <f>SUMIFS(Data!$M$2:$M$1294,Data!$F$2:$F$1294,"United States",Data!$D$2:$D$1294,"2025-02",Data!$G$2:$G$1294,"Web Design")</f>
        <v>3337</v>
      </c>
      <c r="F47" s="21">
        <f t="shared" si="9"/>
        <v>49.8999101</v>
      </c>
      <c r="G47" s="16">
        <f>IF(E47=0,"",SUMIFS(Data!$N$2:$N$1294,Data!$F$2:$F$1294,"United States",Data!$D$2:$D$1294,"2025-02",Data!$G$2:$G$1294,"Web Design")/E47)</f>
        <v>0.9871141744</v>
      </c>
      <c r="H47" s="11">
        <f>SUMIFS(Data!$R$2:$R$1294,Data!$F$2:$F$1294,"United States",Data!$D$2:$D$1294,"2025-02",Data!$G$2:$G$1294,"Web Design")</f>
        <v>166516</v>
      </c>
      <c r="I47" s="11">
        <f>SUMIFS(Data!$S$2:$S$1294,Data!$F$2:$F$1294,"United States",Data!$D$2:$D$1294,"2025-02",Data!$G$2:$G$1294,"Web Design")</f>
        <v>110913</v>
      </c>
      <c r="J47" s="11">
        <f>SUMIFS(Data!$T$2:$T$1294,Data!$F$2:$F$1294,"United States",Data!$D$2:$D$1294,"2025-02",Data!$G$2:$G$1294,"Web Design")</f>
        <v>55603</v>
      </c>
      <c r="K47" s="2"/>
      <c r="L47" s="2"/>
      <c r="M47" s="2"/>
    </row>
    <row r="48" ht="15.0" customHeight="1">
      <c r="A48" s="4" t="s">
        <v>73</v>
      </c>
      <c r="B48" s="5">
        <f>SUMIFS(Data!$J$2:$J$1294,Data!$F$2:$F$1294,"United States",Data!$D$2:$D$1294,"2025-03",Data!$G$2:$G$1294,"Web Design")</f>
        <v>20156</v>
      </c>
      <c r="C48" s="5">
        <f>SUMIFS(Data!$L$2:$L$1294,Data!$F$2:$F$1294,"United States",Data!$D$2:$D$1294,"2025-03",Data!$G$2:$G$1294,"Web Design")</f>
        <v>3509</v>
      </c>
      <c r="D48" s="13">
        <f t="shared" si="8"/>
        <v>0.1740920818</v>
      </c>
      <c r="E48" s="5">
        <f>SUMIFS(Data!$M$2:$M$1294,Data!$F$2:$F$1294,"United States",Data!$D$2:$D$1294,"2025-03",Data!$G$2:$G$1294,"Web Design")</f>
        <v>3266</v>
      </c>
      <c r="F48" s="20">
        <f t="shared" si="9"/>
        <v>52.93049602</v>
      </c>
      <c r="G48" s="13">
        <f>IF(E48=0,"",SUMIFS(Data!$N$2:$N$1294,Data!$F$2:$F$1294,"United States",Data!$D$2:$D$1294,"2025-03",Data!$G$2:$G$1294,"Web Design")/E48)</f>
        <v>0.9115125536</v>
      </c>
      <c r="H48" s="10">
        <f>SUMIFS(Data!$R$2:$R$1294,Data!$F$2:$F$1294,"United States",Data!$D$2:$D$1294,"2025-03",Data!$G$2:$G$1294,"Web Design")</f>
        <v>172871</v>
      </c>
      <c r="I48" s="10">
        <f>SUMIFS(Data!$S$2:$S$1294,Data!$F$2:$F$1294,"United States",Data!$D$2:$D$1294,"2025-03",Data!$G$2:$G$1294,"Web Design")</f>
        <v>101723</v>
      </c>
      <c r="J48" s="10">
        <f>SUMIFS(Data!$T$2:$T$1294,Data!$F$2:$F$1294,"United States",Data!$D$2:$D$1294,"2025-03",Data!$G$2:$G$1294,"Web Design")</f>
        <v>71148</v>
      </c>
      <c r="K48" s="2"/>
      <c r="L48" s="2"/>
      <c r="M48" s="2"/>
    </row>
    <row r="49" ht="15.0" customHeight="1">
      <c r="A49" s="7" t="s">
        <v>60</v>
      </c>
      <c r="B49" s="8">
        <f>SUMIFS(Data!$J$2:$J$1294,Data!$F$2:$F$1294,"United States",Data!$D$2:$D$1294,"2025-04",Data!$G$2:$G$1294,"Web Design")</f>
        <v>20050</v>
      </c>
      <c r="C49" s="8">
        <f>SUMIFS(Data!$L$2:$L$1294,Data!$F$2:$F$1294,"United States",Data!$D$2:$D$1294,"2025-04",Data!$G$2:$G$1294,"Web Design")</f>
        <v>3393</v>
      </c>
      <c r="D49" s="16">
        <f t="shared" si="8"/>
        <v>0.1692269327</v>
      </c>
      <c r="E49" s="8">
        <f>SUMIFS(Data!$M$2:$M$1294,Data!$F$2:$F$1294,"United States",Data!$D$2:$D$1294,"2025-04",Data!$G$2:$G$1294,"Web Design")</f>
        <v>3153</v>
      </c>
      <c r="F49" s="21">
        <f t="shared" si="9"/>
        <v>53.2112274</v>
      </c>
      <c r="G49" s="16">
        <f>IF(E49=0,"",SUMIFS(Data!$N$2:$N$1294,Data!$F$2:$F$1294,"United States",Data!$D$2:$D$1294,"2025-04",Data!$G$2:$G$1294,"Web Design")/E49)</f>
        <v>0.9181731684</v>
      </c>
      <c r="H49" s="11">
        <f>SUMIFS(Data!$R$2:$R$1294,Data!$F$2:$F$1294,"United States",Data!$D$2:$D$1294,"2025-04",Data!$G$2:$G$1294,"Web Design")</f>
        <v>167775</v>
      </c>
      <c r="I49" s="11">
        <f>SUMIFS(Data!$S$2:$S$1294,Data!$F$2:$F$1294,"United States",Data!$D$2:$D$1294,"2025-04",Data!$G$2:$G$1294,"Web Design")</f>
        <v>101996</v>
      </c>
      <c r="J49" s="11">
        <f>SUMIFS(Data!$T$2:$T$1294,Data!$F$2:$F$1294,"United States",Data!$D$2:$D$1294,"2025-04",Data!$G$2:$G$1294,"Web Design")</f>
        <v>65781</v>
      </c>
      <c r="K49" s="2"/>
      <c r="L49" s="2"/>
      <c r="M49" s="2"/>
    </row>
    <row r="50" ht="15.0" customHeight="1">
      <c r="A50" s="4" t="s">
        <v>75</v>
      </c>
      <c r="B50" s="5">
        <f>SUMIFS(Data!$J$2:$J$1294,Data!$F$2:$F$1294,"United States",Data!$D$2:$D$1294,"2025-05",Data!$G$2:$G$1294,"Web Design")</f>
        <v>21342</v>
      </c>
      <c r="C50" s="5">
        <f>SUMIFS(Data!$L$2:$L$1294,Data!$F$2:$F$1294,"United States",Data!$D$2:$D$1294,"2025-05",Data!$G$2:$G$1294,"Web Design")</f>
        <v>3310</v>
      </c>
      <c r="D50" s="13">
        <f t="shared" si="8"/>
        <v>0.1550932434</v>
      </c>
      <c r="E50" s="5">
        <f>SUMIFS(Data!$M$2:$M$1294,Data!$F$2:$F$1294,"United States",Data!$D$2:$D$1294,"2025-05",Data!$G$2:$G$1294,"Web Design")</f>
        <v>3029</v>
      </c>
      <c r="F50" s="20">
        <f t="shared" si="9"/>
        <v>54.41432816</v>
      </c>
      <c r="G50" s="13">
        <f>IF(E50=0,"",SUMIFS(Data!$N$2:$N$1294,Data!$F$2:$F$1294,"United States",Data!$D$2:$D$1294,"2025-05",Data!$G$2:$G$1294,"Web Design")/E50)</f>
        <v>0.881479036</v>
      </c>
      <c r="H50" s="10">
        <f>SUMIFS(Data!$R$2:$R$1294,Data!$F$2:$F$1294,"United States",Data!$D$2:$D$1294,"2025-05",Data!$G$2:$G$1294,"Web Design")</f>
        <v>164821</v>
      </c>
      <c r="I50" s="10">
        <f>SUMIFS(Data!$S$2:$S$1294,Data!$F$2:$F$1294,"United States",Data!$D$2:$D$1294,"2025-05",Data!$G$2:$G$1294,"Web Design")</f>
        <v>106465</v>
      </c>
      <c r="J50" s="10">
        <f>SUMIFS(Data!$T$2:$T$1294,Data!$F$2:$F$1294,"United States",Data!$D$2:$D$1294,"2025-05",Data!$G$2:$G$1294,"Web Design")</f>
        <v>58357</v>
      </c>
      <c r="K50" s="2"/>
      <c r="L50" s="2"/>
      <c r="M50" s="2"/>
    </row>
    <row r="51" ht="15.0" customHeight="1">
      <c r="A51" s="7" t="s">
        <v>71</v>
      </c>
      <c r="B51" s="8">
        <f>SUMIFS(Data!$J$2:$J$1294,Data!$F$2:$F$1294,"United States",Data!$D$2:$D$1294,"2025-06",Data!$G$2:$G$1294,"Web Design")</f>
        <v>16606</v>
      </c>
      <c r="C51" s="8">
        <f>SUMIFS(Data!$L$2:$L$1294,Data!$F$2:$F$1294,"United States",Data!$D$2:$D$1294,"2025-06",Data!$G$2:$G$1294,"Web Design")</f>
        <v>2355</v>
      </c>
      <c r="D51" s="16">
        <f t="shared" si="8"/>
        <v>0.141816211</v>
      </c>
      <c r="E51" s="8">
        <f>SUMIFS(Data!$M$2:$M$1294,Data!$F$2:$F$1294,"United States",Data!$D$2:$D$1294,"2025-06",Data!$G$2:$G$1294,"Web Design")</f>
        <v>2150</v>
      </c>
      <c r="F51" s="21">
        <f t="shared" si="9"/>
        <v>52.92139535</v>
      </c>
      <c r="G51" s="16">
        <f>IF(E51=0,"",SUMIFS(Data!$N$2:$N$1294,Data!$F$2:$F$1294,"United States",Data!$D$2:$D$1294,"2025-06",Data!$G$2:$G$1294,"Web Design")/E51)</f>
        <v>0.8939534884</v>
      </c>
      <c r="H51" s="11">
        <f>SUMIFS(Data!$R$2:$R$1294,Data!$F$2:$F$1294,"United States",Data!$D$2:$D$1294,"2025-06",Data!$G$2:$G$1294,"Web Design")</f>
        <v>113781</v>
      </c>
      <c r="I51" s="11">
        <f>SUMIFS(Data!$S$2:$S$1294,Data!$F$2:$F$1294,"United States",Data!$D$2:$D$1294,"2025-06",Data!$G$2:$G$1294,"Web Design")</f>
        <v>68269</v>
      </c>
      <c r="J51" s="11">
        <f>SUMIFS(Data!$T$2:$T$1294,Data!$F$2:$F$1294,"United States",Data!$D$2:$D$1294,"2025-06",Data!$G$2:$G$1294,"Web Design")</f>
        <v>45511</v>
      </c>
      <c r="K51" s="2"/>
      <c r="L51" s="2"/>
      <c r="M51" s="2"/>
    </row>
    <row r="52" ht="15.0" customHeight="1">
      <c r="A52" s="4" t="s">
        <v>69</v>
      </c>
      <c r="B52" s="5">
        <f>SUMIFS(Data!$J$2:$J$1294,Data!$F$2:$F$1294,"United States",Data!$D$2:$D$1294,"2025-07",Data!$G$2:$G$1294,"Web Design")</f>
        <v>16251</v>
      </c>
      <c r="C52" s="5">
        <f>SUMIFS(Data!$L$2:$L$1294,Data!$F$2:$F$1294,"United States",Data!$D$2:$D$1294,"2025-07",Data!$G$2:$G$1294,"Web Design")</f>
        <v>2178</v>
      </c>
      <c r="D52" s="13">
        <f t="shared" si="8"/>
        <v>0.1340225217</v>
      </c>
      <c r="E52" s="5">
        <f>SUMIFS(Data!$M$2:$M$1294,Data!$F$2:$F$1294,"United States",Data!$D$2:$D$1294,"2025-07",Data!$G$2:$G$1294,"Web Design")</f>
        <v>1954</v>
      </c>
      <c r="F52" s="20">
        <f t="shared" si="9"/>
        <v>63.7062436</v>
      </c>
      <c r="G52" s="13">
        <f>IF(E52=0,"",SUMIFS(Data!$N$2:$N$1294,Data!$F$2:$F$1294,"United States",Data!$D$2:$D$1294,"2025-07",Data!$G$2:$G$1294,"Web Design")/E52)</f>
        <v>0.9728761515</v>
      </c>
      <c r="H52" s="10">
        <f>SUMIFS(Data!$R$2:$R$1294,Data!$F$2:$F$1294,"United States",Data!$D$2:$D$1294,"2025-07",Data!$G$2:$G$1294,"Web Design")</f>
        <v>124482</v>
      </c>
      <c r="I52" s="10">
        <f>SUMIFS(Data!$S$2:$S$1294,Data!$F$2:$F$1294,"United States",Data!$D$2:$D$1294,"2025-07",Data!$G$2:$G$1294,"Web Design")</f>
        <v>67441</v>
      </c>
      <c r="J52" s="10">
        <f>SUMIFS(Data!$T$2:$T$1294,Data!$F$2:$F$1294,"United States",Data!$D$2:$D$1294,"2025-07",Data!$G$2:$G$1294,"Web Design")</f>
        <v>57041</v>
      </c>
      <c r="K52" s="2"/>
      <c r="L52" s="2"/>
      <c r="M52" s="2"/>
    </row>
    <row r="53" ht="15.0" customHeight="1">
      <c r="A53" s="7" t="s">
        <v>62</v>
      </c>
      <c r="B53" s="8">
        <f>SUMIFS(Data!$J$2:$J$1294,Data!$F$2:$F$1294,"United States",Data!$D$2:$D$1294,"2025-08",Data!$G$2:$G$1294,"Web Design")</f>
        <v>19394</v>
      </c>
      <c r="C53" s="8">
        <f>SUMIFS(Data!$L$2:$L$1294,Data!$F$2:$F$1294,"United States",Data!$D$2:$D$1294,"2025-08",Data!$G$2:$G$1294,"Web Design")</f>
        <v>2558</v>
      </c>
      <c r="D53" s="16">
        <f t="shared" si="8"/>
        <v>0.1318964628</v>
      </c>
      <c r="E53" s="8">
        <f>SUMIFS(Data!$M$2:$M$1294,Data!$F$2:$F$1294,"United States",Data!$D$2:$D$1294,"2025-08",Data!$G$2:$G$1294,"Web Design")</f>
        <v>2124</v>
      </c>
      <c r="F53" s="21">
        <f t="shared" si="9"/>
        <v>64.55084746</v>
      </c>
      <c r="G53" s="16">
        <f>IF(E53=0,"",SUMIFS(Data!$N$2:$N$1294,Data!$F$2:$F$1294,"United States",Data!$D$2:$D$1294,"2025-08",Data!$G$2:$G$1294,"Web Design")/E53)</f>
        <v>0.9642184557</v>
      </c>
      <c r="H53" s="11">
        <f>SUMIFS(Data!$R$2:$R$1294,Data!$F$2:$F$1294,"United States",Data!$D$2:$D$1294,"2025-08",Data!$G$2:$G$1294,"Web Design")</f>
        <v>137106</v>
      </c>
      <c r="I53" s="11">
        <f>SUMIFS(Data!$S$2:$S$1294,Data!$F$2:$F$1294,"United States",Data!$D$2:$D$1294,"2025-08",Data!$G$2:$G$1294,"Web Design")</f>
        <v>60411</v>
      </c>
      <c r="J53" s="11">
        <f>SUMIFS(Data!$T$2:$T$1294,Data!$F$2:$F$1294,"United States",Data!$D$2:$D$1294,"2025-08",Data!$G$2:$G$1294,"Web Design")</f>
        <v>76695</v>
      </c>
      <c r="K53" s="2"/>
      <c r="L53" s="2"/>
      <c r="M53" s="2"/>
    </row>
    <row r="54" ht="15.0" customHeight="1">
      <c r="A54" s="4" t="s">
        <v>78</v>
      </c>
      <c r="B54" s="5">
        <f>SUMIFS(Data!$J$2:$J$1294,Data!$F$2:$F$1294,"United States",Data!$D$2:$D$1294,"2025-09",Data!$G$2:$G$1294,"Web Design")</f>
        <v>19696</v>
      </c>
      <c r="C54" s="5">
        <f>SUMIFS(Data!$L$2:$L$1294,Data!$F$2:$F$1294,"United States",Data!$D$2:$D$1294,"2025-09",Data!$G$2:$G$1294,"Web Design")</f>
        <v>2899</v>
      </c>
      <c r="D54" s="13">
        <f t="shared" si="8"/>
        <v>0.1471872461</v>
      </c>
      <c r="E54" s="5">
        <f>SUMIFS(Data!$M$2:$M$1294,Data!$F$2:$F$1294,"United States",Data!$D$2:$D$1294,"2025-09",Data!$G$2:$G$1294,"Web Design")</f>
        <v>2524</v>
      </c>
      <c r="F54" s="20">
        <f t="shared" si="9"/>
        <v>50.24643423</v>
      </c>
      <c r="G54" s="13">
        <f>IF(E54=0,"",SUMIFS(Data!$N$2:$N$1294,Data!$F$2:$F$1294,"United States",Data!$D$2:$D$1294,"2025-09",Data!$G$2:$G$1294,"Web Design")/E54)</f>
        <v>0.9833597464</v>
      </c>
      <c r="H54" s="10">
        <f>SUMIFS(Data!$R$2:$R$1294,Data!$F$2:$F$1294,"United States",Data!$D$2:$D$1294,"2025-09",Data!$G$2:$G$1294,"Web Design")</f>
        <v>126822</v>
      </c>
      <c r="I54" s="10">
        <f>SUMIFS(Data!$S$2:$S$1294,Data!$F$2:$F$1294,"United States",Data!$D$2:$D$1294,"2025-09",Data!$G$2:$G$1294,"Web Design")</f>
        <v>67121</v>
      </c>
      <c r="J54" s="10">
        <f>SUMIFS(Data!$T$2:$T$1294,Data!$F$2:$F$1294,"United States",Data!$D$2:$D$1294,"2025-09",Data!$G$2:$G$1294,"Web Design")</f>
        <v>59701</v>
      </c>
      <c r="K54" s="2"/>
      <c r="L54" s="2"/>
      <c r="M54" s="2"/>
    </row>
    <row r="55" ht="15.0" customHeight="1">
      <c r="A55" s="7" t="s">
        <v>77</v>
      </c>
      <c r="B55" s="8">
        <f>SUMIFS(Data!$J$2:$J$1294,Data!$F$2:$F$1294,"United States",Data!$D$2:$D$1294,"2025-10",Data!$G$2:$G$1294,"Web Design")</f>
        <v>16304</v>
      </c>
      <c r="C55" s="8">
        <f>SUMIFS(Data!$L$2:$L$1294,Data!$F$2:$F$1294,"United States",Data!$D$2:$D$1294,"2025-10",Data!$G$2:$G$1294,"Web Design")</f>
        <v>2831</v>
      </c>
      <c r="D55" s="16">
        <f t="shared" si="8"/>
        <v>0.173638371</v>
      </c>
      <c r="E55" s="8">
        <f>SUMIFS(Data!$M$2:$M$1294,Data!$F$2:$F$1294,"United States",Data!$D$2:$D$1294,"2025-10",Data!$G$2:$G$1294,"Web Design")</f>
        <v>2272</v>
      </c>
      <c r="F55" s="21">
        <f t="shared" si="9"/>
        <v>46.25</v>
      </c>
      <c r="G55" s="16">
        <f>IF(E55=0,"",SUMIFS(Data!$N$2:$N$1294,Data!$F$2:$F$1294,"United States",Data!$D$2:$D$1294,"2025-10",Data!$G$2:$G$1294,"Web Design")/E55)</f>
        <v>0.8675176056</v>
      </c>
      <c r="H55" s="11">
        <f>SUMIFS(Data!$R$2:$R$1294,Data!$F$2:$F$1294,"United States",Data!$D$2:$D$1294,"2025-10",Data!$G$2:$G$1294,"Web Design")</f>
        <v>105080</v>
      </c>
      <c r="I55" s="11">
        <f>SUMIFS(Data!$S$2:$S$1294,Data!$F$2:$F$1294,"United States",Data!$D$2:$D$1294,"2025-10",Data!$G$2:$G$1294,"Web Design")</f>
        <v>48464</v>
      </c>
      <c r="J55" s="11">
        <f>SUMIFS(Data!$T$2:$T$1294,Data!$F$2:$F$1294,"United States",Data!$D$2:$D$1294,"2025-10",Data!$G$2:$G$1294,"Web Design")</f>
        <v>56616</v>
      </c>
      <c r="K55" s="2"/>
      <c r="L55" s="2"/>
      <c r="M55" s="2"/>
    </row>
    <row r="56" ht="15.0" customHeight="1">
      <c r="A56" s="4" t="s">
        <v>76</v>
      </c>
      <c r="B56" s="5">
        <f>SUMIFS(Data!$J$2:$J$1294,Data!$F$2:$F$1294,"United States",Data!$D$2:$D$1294,"2025-11",Data!$G$2:$G$1294,"Web Design")</f>
        <v>16554</v>
      </c>
      <c r="C56" s="5">
        <f>SUMIFS(Data!$L$2:$L$1294,Data!$F$2:$F$1294,"United States",Data!$D$2:$D$1294,"2025-11",Data!$G$2:$G$1294,"Web Design")</f>
        <v>2475</v>
      </c>
      <c r="D56" s="13">
        <f t="shared" si="8"/>
        <v>0.1495106923</v>
      </c>
      <c r="E56" s="5">
        <f>SUMIFS(Data!$M$2:$M$1294,Data!$F$2:$F$1294,"United States",Data!$D$2:$D$1294,"2025-11",Data!$G$2:$G$1294,"Web Design")</f>
        <v>2190</v>
      </c>
      <c r="F56" s="20">
        <f t="shared" si="9"/>
        <v>38.83333333</v>
      </c>
      <c r="G56" s="13">
        <f>IF(E56=0,"",SUMIFS(Data!$N$2:$N$1294,Data!$F$2:$F$1294,"United States",Data!$D$2:$D$1294,"2025-11",Data!$G$2:$G$1294,"Web Design")/E56)</f>
        <v>0.8287671233</v>
      </c>
      <c r="H56" s="10">
        <f>SUMIFS(Data!$R$2:$R$1294,Data!$F$2:$F$1294,"United States",Data!$D$2:$D$1294,"2025-11",Data!$G$2:$G$1294,"Web Design")</f>
        <v>85045</v>
      </c>
      <c r="I56" s="10">
        <f>SUMIFS(Data!$S$2:$S$1294,Data!$F$2:$F$1294,"United States",Data!$D$2:$D$1294,"2025-11",Data!$G$2:$G$1294,"Web Design")</f>
        <v>48357</v>
      </c>
      <c r="J56" s="10">
        <f>SUMIFS(Data!$T$2:$T$1294,Data!$F$2:$F$1294,"United States",Data!$D$2:$D$1294,"2025-11",Data!$G$2:$G$1294,"Web Design")</f>
        <v>36688</v>
      </c>
      <c r="K56" s="2"/>
      <c r="L56" s="2"/>
      <c r="M56" s="2"/>
    </row>
    <row r="57" ht="15.0" customHeight="1">
      <c r="A57" s="7" t="s">
        <v>64</v>
      </c>
      <c r="B57" s="8">
        <f>SUMIFS(Data!$J$2:$J$1294,Data!$F$2:$F$1294,"United States",Data!$D$2:$D$1294,"2025-12",Data!$G$2:$G$1294,"Web Design")</f>
        <v>10977</v>
      </c>
      <c r="C57" s="8">
        <f>SUMIFS(Data!$L$2:$L$1294,Data!$F$2:$F$1294,"United States",Data!$D$2:$D$1294,"2025-12",Data!$G$2:$G$1294,"Web Design")</f>
        <v>1975</v>
      </c>
      <c r="D57" s="16">
        <f t="shared" si="8"/>
        <v>0.1799216544</v>
      </c>
      <c r="E57" s="8">
        <f>SUMIFS(Data!$M$2:$M$1294,Data!$F$2:$F$1294,"United States",Data!$D$2:$D$1294,"2025-12",Data!$G$2:$G$1294,"Web Design")</f>
        <v>1675</v>
      </c>
      <c r="F57" s="21">
        <f t="shared" si="9"/>
        <v>36.27462687</v>
      </c>
      <c r="G57" s="16">
        <f>IF(E57=0,"",SUMIFS(Data!$N$2:$N$1294,Data!$F$2:$F$1294,"United States",Data!$D$2:$D$1294,"2025-12",Data!$G$2:$G$1294,"Web Design")/E57)</f>
        <v>0.783880597</v>
      </c>
      <c r="H57" s="11">
        <f>SUMIFS(Data!$R$2:$R$1294,Data!$F$2:$F$1294,"United States",Data!$D$2:$D$1294,"2025-12",Data!$G$2:$G$1294,"Web Design")</f>
        <v>60760</v>
      </c>
      <c r="I57" s="11">
        <f>SUMIFS(Data!$S$2:$S$1294,Data!$F$2:$F$1294,"United States",Data!$D$2:$D$1294,"2025-12",Data!$G$2:$G$1294,"Web Design")</f>
        <v>25221</v>
      </c>
      <c r="J57" s="11">
        <f>SUMIFS(Data!$T$2:$T$1294,Data!$F$2:$F$1294,"United States",Data!$D$2:$D$1294,"2025-12",Data!$G$2:$G$1294,"Web Design")</f>
        <v>35538</v>
      </c>
      <c r="K57" s="2"/>
      <c r="L57" s="2"/>
      <c r="M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ht="17.25" customHeight="1">
      <c r="A59" s="22" t="s">
        <v>141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ht="15.0" customHeight="1">
      <c r="A60" s="1" t="s">
        <v>3</v>
      </c>
      <c r="B60" s="1" t="s">
        <v>101</v>
      </c>
      <c r="C60" s="1" t="s">
        <v>138</v>
      </c>
      <c r="D60" s="1" t="s">
        <v>103</v>
      </c>
      <c r="E60" s="1" t="s">
        <v>104</v>
      </c>
      <c r="F60" s="1" t="s">
        <v>139</v>
      </c>
      <c r="G60" s="1" t="s">
        <v>140</v>
      </c>
      <c r="H60" s="1" t="s">
        <v>105</v>
      </c>
      <c r="I60" s="1" t="s">
        <v>106</v>
      </c>
      <c r="J60" s="1" t="s">
        <v>107</v>
      </c>
      <c r="K60" s="2"/>
      <c r="L60" s="2"/>
      <c r="M60" s="2"/>
    </row>
    <row r="61" ht="15.0" customHeight="1">
      <c r="A61" s="4" t="s">
        <v>52</v>
      </c>
      <c r="B61" s="5">
        <f>SUMIFS(Data!$J$2:$J$1294,Data!$F$2:$F$1294,"United States",Data!$D$2:$D$1294,"2024-07",Data!$G$2:$G$1294,"Motivational Speaking")</f>
        <v>1549</v>
      </c>
      <c r="C61" s="5">
        <f>SUMIFS(Data!$L$2:$L$1294,Data!$F$2:$F$1294,"United States",Data!$D$2:$D$1294,"2024-07",Data!$G$2:$G$1294,"Motivational Speaking")</f>
        <v>320</v>
      </c>
      <c r="D61" s="13">
        <f t="shared" ref="D61:D78" si="10">IF(B61=0,"",C61/B61)</f>
        <v>0.2065848935</v>
      </c>
      <c r="E61" s="5">
        <f>SUMIFS(Data!$M$2:$M$1294,Data!$F$2:$F$1294,"United States",Data!$D$2:$D$1294,"2024-07",Data!$G$2:$G$1294,"Motivational Speaking")</f>
        <v>309</v>
      </c>
      <c r="F61" s="20">
        <f t="shared" ref="F61:F78" si="11">IF(E61=0,"",H61/E61)</f>
        <v>30.68932039</v>
      </c>
      <c r="G61" s="13">
        <f>IF(E61=0,"",SUMIFS(Data!$N$2:$N$1294,Data!$F$2:$F$1294,"United States",Data!$D$2:$D$1294,"2024-07",Data!$G$2:$G$1294,"Motivational Speaking")/E61)</f>
        <v>0.6860841424</v>
      </c>
      <c r="H61" s="10">
        <f>SUMIFS(Data!$R$2:$R$1294,Data!$F$2:$F$1294,"United States",Data!$D$2:$D$1294,"2024-07",Data!$G$2:$G$1294,"Motivational Speaking")</f>
        <v>9483</v>
      </c>
      <c r="I61" s="10">
        <f>SUMIFS(Data!$S$2:$S$1294,Data!$F$2:$F$1294,"United States",Data!$D$2:$D$1294,"2024-07",Data!$G$2:$G$1294,"Motivational Speaking")</f>
        <v>7802</v>
      </c>
      <c r="J61" s="10">
        <f>SUMIFS(Data!$T$2:$T$1294,Data!$F$2:$F$1294,"United States",Data!$D$2:$D$1294,"2024-07",Data!$G$2:$G$1294,"Motivational Speaking")</f>
        <v>1681</v>
      </c>
      <c r="K61" s="2"/>
      <c r="L61" s="2"/>
      <c r="M61" s="2"/>
    </row>
    <row r="62" ht="15.0" customHeight="1">
      <c r="A62" s="7" t="s">
        <v>24</v>
      </c>
      <c r="B62" s="8">
        <f>SUMIFS(Data!$J$2:$J$1294,Data!$F$2:$F$1294,"United States",Data!$D$2:$D$1294,"2024-08",Data!$G$2:$G$1294,"Motivational Speaking")</f>
        <v>5223</v>
      </c>
      <c r="C62" s="8">
        <f>SUMIFS(Data!$L$2:$L$1294,Data!$F$2:$F$1294,"United States",Data!$D$2:$D$1294,"2024-08",Data!$G$2:$G$1294,"Motivational Speaking")</f>
        <v>938</v>
      </c>
      <c r="D62" s="16">
        <f t="shared" si="10"/>
        <v>0.1795902738</v>
      </c>
      <c r="E62" s="8">
        <f>SUMIFS(Data!$M$2:$M$1294,Data!$F$2:$F$1294,"United States",Data!$D$2:$D$1294,"2024-08",Data!$G$2:$G$1294,"Motivational Speaking")</f>
        <v>896</v>
      </c>
      <c r="F62" s="21">
        <f t="shared" si="11"/>
        <v>25.37946429</v>
      </c>
      <c r="G62" s="16">
        <f>IF(E62=0,"",SUMIFS(Data!$N$2:$N$1294,Data!$F$2:$F$1294,"United States",Data!$D$2:$D$1294,"2024-08",Data!$G$2:$G$1294,"Motivational Speaking")/E62)</f>
        <v>0.6618303571</v>
      </c>
      <c r="H62" s="11">
        <f>SUMIFS(Data!$R$2:$R$1294,Data!$F$2:$F$1294,"United States",Data!$D$2:$D$1294,"2024-08",Data!$G$2:$G$1294,"Motivational Speaking")</f>
        <v>22740</v>
      </c>
      <c r="I62" s="11">
        <f>SUMIFS(Data!$S$2:$S$1294,Data!$F$2:$F$1294,"United States",Data!$D$2:$D$1294,"2024-08",Data!$G$2:$G$1294,"Motivational Speaking")</f>
        <v>18530</v>
      </c>
      <c r="J62" s="11">
        <f>SUMIFS(Data!$T$2:$T$1294,Data!$F$2:$F$1294,"United States",Data!$D$2:$D$1294,"2024-08",Data!$G$2:$G$1294,"Motivational Speaking")</f>
        <v>4209</v>
      </c>
      <c r="K62" s="2"/>
      <c r="L62" s="2"/>
      <c r="M62" s="2"/>
    </row>
    <row r="63" ht="15.0" customHeight="1">
      <c r="A63" s="4" t="s">
        <v>58</v>
      </c>
      <c r="B63" s="5">
        <f>SUMIFS(Data!$J$2:$J$1294,Data!$F$2:$F$1294,"United States",Data!$D$2:$D$1294,"2024-09",Data!$G$2:$G$1294,"Motivational Speaking")</f>
        <v>6314</v>
      </c>
      <c r="C63" s="5">
        <f>SUMIFS(Data!$L$2:$L$1294,Data!$F$2:$F$1294,"United States",Data!$D$2:$D$1294,"2024-09",Data!$G$2:$G$1294,"Motivational Speaking")</f>
        <v>1001</v>
      </c>
      <c r="D63" s="13">
        <f t="shared" si="10"/>
        <v>0.1585365854</v>
      </c>
      <c r="E63" s="5">
        <f>SUMIFS(Data!$M$2:$M$1294,Data!$F$2:$F$1294,"United States",Data!$D$2:$D$1294,"2024-09",Data!$G$2:$G$1294,"Motivational Speaking")</f>
        <v>943</v>
      </c>
      <c r="F63" s="20">
        <f t="shared" si="11"/>
        <v>25.79427359</v>
      </c>
      <c r="G63" s="13">
        <f>IF(E63=0,"",SUMIFS(Data!$N$2:$N$1294,Data!$F$2:$F$1294,"United States",Data!$D$2:$D$1294,"2024-09",Data!$G$2:$G$1294,"Motivational Speaking")/E63)</f>
        <v>0.6542948038</v>
      </c>
      <c r="H63" s="10">
        <f>SUMIFS(Data!$R$2:$R$1294,Data!$F$2:$F$1294,"United States",Data!$D$2:$D$1294,"2024-09",Data!$G$2:$G$1294,"Motivational Speaking")</f>
        <v>24324</v>
      </c>
      <c r="I63" s="10">
        <f>SUMIFS(Data!$S$2:$S$1294,Data!$F$2:$F$1294,"United States",Data!$D$2:$D$1294,"2024-09",Data!$G$2:$G$1294,"Motivational Speaking")</f>
        <v>19359</v>
      </c>
      <c r="J63" s="10">
        <f>SUMIFS(Data!$T$2:$T$1294,Data!$F$2:$F$1294,"United States",Data!$D$2:$D$1294,"2024-09",Data!$G$2:$G$1294,"Motivational Speaking")</f>
        <v>4965</v>
      </c>
      <c r="K63" s="2"/>
      <c r="L63" s="2"/>
      <c r="M63" s="2"/>
    </row>
    <row r="64" ht="15.0" customHeight="1">
      <c r="A64" s="7" t="s">
        <v>56</v>
      </c>
      <c r="B64" s="8">
        <f>SUMIFS(Data!$J$2:$J$1294,Data!$F$2:$F$1294,"United States",Data!$D$2:$D$1294,"2024-10",Data!$G$2:$G$1294,"Motivational Speaking")</f>
        <v>6482</v>
      </c>
      <c r="C64" s="8">
        <f>SUMIFS(Data!$L$2:$L$1294,Data!$F$2:$F$1294,"United States",Data!$D$2:$D$1294,"2024-10",Data!$G$2:$G$1294,"Motivational Speaking")</f>
        <v>1053</v>
      </c>
      <c r="D64" s="16">
        <f t="shared" si="10"/>
        <v>0.1624498612</v>
      </c>
      <c r="E64" s="8">
        <f>SUMIFS(Data!$M$2:$M$1294,Data!$F$2:$F$1294,"United States",Data!$D$2:$D$1294,"2024-10",Data!$G$2:$G$1294,"Motivational Speaking")</f>
        <v>998</v>
      </c>
      <c r="F64" s="21">
        <f t="shared" si="11"/>
        <v>30.55511022</v>
      </c>
      <c r="G64" s="16">
        <f>IF(E64=0,"",SUMIFS(Data!$N$2:$N$1294,Data!$F$2:$F$1294,"United States",Data!$D$2:$D$1294,"2024-10",Data!$G$2:$G$1294,"Motivational Speaking")/E64)</f>
        <v>0.6693386774</v>
      </c>
      <c r="H64" s="11">
        <f>SUMIFS(Data!$R$2:$R$1294,Data!$F$2:$F$1294,"United States",Data!$D$2:$D$1294,"2024-10",Data!$G$2:$G$1294,"Motivational Speaking")</f>
        <v>30494</v>
      </c>
      <c r="I64" s="11">
        <f>SUMIFS(Data!$S$2:$S$1294,Data!$F$2:$F$1294,"United States",Data!$D$2:$D$1294,"2024-10",Data!$G$2:$G$1294,"Motivational Speaking")</f>
        <v>20850</v>
      </c>
      <c r="J64" s="11">
        <f>SUMIFS(Data!$T$2:$T$1294,Data!$F$2:$F$1294,"United States",Data!$D$2:$D$1294,"2024-10",Data!$G$2:$G$1294,"Motivational Speaking")</f>
        <v>9643</v>
      </c>
      <c r="K64" s="2"/>
      <c r="L64" s="2"/>
      <c r="M64" s="2"/>
    </row>
    <row r="65" ht="15.0" customHeight="1">
      <c r="A65" s="4" t="s">
        <v>54</v>
      </c>
      <c r="B65" s="5">
        <f>SUMIFS(Data!$J$2:$J$1294,Data!$F$2:$F$1294,"United States",Data!$D$2:$D$1294,"2024-11",Data!$G$2:$G$1294,"Motivational Speaking")</f>
        <v>5220</v>
      </c>
      <c r="C65" s="5">
        <f>SUMIFS(Data!$L$2:$L$1294,Data!$F$2:$F$1294,"United States",Data!$D$2:$D$1294,"2024-11",Data!$G$2:$G$1294,"Motivational Speaking")</f>
        <v>804</v>
      </c>
      <c r="D65" s="13">
        <f t="shared" si="10"/>
        <v>0.1540229885</v>
      </c>
      <c r="E65" s="5">
        <f>SUMIFS(Data!$M$2:$M$1294,Data!$F$2:$F$1294,"United States",Data!$D$2:$D$1294,"2024-11",Data!$G$2:$G$1294,"Motivational Speaking")</f>
        <v>769</v>
      </c>
      <c r="F65" s="20">
        <f t="shared" si="11"/>
        <v>35.57217165</v>
      </c>
      <c r="G65" s="13">
        <f>IF(E65=0,"",SUMIFS(Data!$N$2:$N$1294,Data!$F$2:$F$1294,"United States",Data!$D$2:$D$1294,"2024-11",Data!$G$2:$G$1294,"Motivational Speaking")/E65)</f>
        <v>0.733420026</v>
      </c>
      <c r="H65" s="10">
        <f>SUMIFS(Data!$R$2:$R$1294,Data!$F$2:$F$1294,"United States",Data!$D$2:$D$1294,"2024-11",Data!$G$2:$G$1294,"Motivational Speaking")</f>
        <v>27355</v>
      </c>
      <c r="I65" s="10">
        <f>SUMIFS(Data!$S$2:$S$1294,Data!$F$2:$F$1294,"United States",Data!$D$2:$D$1294,"2024-11",Data!$G$2:$G$1294,"Motivational Speaking")</f>
        <v>16472</v>
      </c>
      <c r="J65" s="10">
        <f>SUMIFS(Data!$T$2:$T$1294,Data!$F$2:$F$1294,"United States",Data!$D$2:$D$1294,"2024-11",Data!$G$2:$G$1294,"Motivational Speaking")</f>
        <v>10883</v>
      </c>
      <c r="K65" s="2"/>
      <c r="L65" s="2"/>
      <c r="M65" s="2"/>
    </row>
    <row r="66" ht="15.0" customHeight="1">
      <c r="A66" s="7" t="s">
        <v>50</v>
      </c>
      <c r="B66" s="8">
        <f>SUMIFS(Data!$J$2:$J$1294,Data!$F$2:$F$1294,"United States",Data!$D$2:$D$1294,"2024-12",Data!$G$2:$G$1294,"Motivational Speaking")</f>
        <v>4163</v>
      </c>
      <c r="C66" s="8">
        <f>SUMIFS(Data!$L$2:$L$1294,Data!$F$2:$F$1294,"United States",Data!$D$2:$D$1294,"2024-12",Data!$G$2:$G$1294,"Motivational Speaking")</f>
        <v>662</v>
      </c>
      <c r="D66" s="16">
        <f t="shared" si="10"/>
        <v>0.1590199375</v>
      </c>
      <c r="E66" s="8">
        <f>SUMIFS(Data!$M$2:$M$1294,Data!$F$2:$F$1294,"United States",Data!$D$2:$D$1294,"2024-12",Data!$G$2:$G$1294,"Motivational Speaking")</f>
        <v>622</v>
      </c>
      <c r="F66" s="21">
        <f t="shared" si="11"/>
        <v>34.27491961</v>
      </c>
      <c r="G66" s="16">
        <f>IF(E66=0,"",SUMIFS(Data!$N$2:$N$1294,Data!$F$2:$F$1294,"United States",Data!$D$2:$D$1294,"2024-12",Data!$G$2:$G$1294,"Motivational Speaking")/E66)</f>
        <v>0.7604501608</v>
      </c>
      <c r="H66" s="11">
        <f>SUMIFS(Data!$R$2:$R$1294,Data!$F$2:$F$1294,"United States",Data!$D$2:$D$1294,"2024-12",Data!$G$2:$G$1294,"Motivational Speaking")</f>
        <v>21319</v>
      </c>
      <c r="I66" s="11">
        <f>SUMIFS(Data!$S$2:$S$1294,Data!$F$2:$F$1294,"United States",Data!$D$2:$D$1294,"2024-12",Data!$G$2:$G$1294,"Motivational Speaking")</f>
        <v>12999</v>
      </c>
      <c r="J66" s="11">
        <f>SUMIFS(Data!$T$2:$T$1294,Data!$F$2:$F$1294,"United States",Data!$D$2:$D$1294,"2024-12",Data!$G$2:$G$1294,"Motivational Speaking")</f>
        <v>8320</v>
      </c>
      <c r="K66" s="2"/>
      <c r="L66" s="2"/>
      <c r="M66" s="2"/>
    </row>
    <row r="67" ht="15.0" customHeight="1">
      <c r="A67" s="4" t="s">
        <v>68</v>
      </c>
      <c r="B67" s="5">
        <f>SUMIFS(Data!$J$2:$J$1294,Data!$F$2:$F$1294,"United States",Data!$D$2:$D$1294,"2025-01",Data!$G$2:$G$1294,"Motivational Speaking")</f>
        <v>7325</v>
      </c>
      <c r="C67" s="5">
        <f>SUMIFS(Data!$L$2:$L$1294,Data!$F$2:$F$1294,"United States",Data!$D$2:$D$1294,"2025-01",Data!$G$2:$G$1294,"Motivational Speaking")</f>
        <v>1317</v>
      </c>
      <c r="D67" s="13">
        <f t="shared" si="10"/>
        <v>0.1797952218</v>
      </c>
      <c r="E67" s="5">
        <f>SUMIFS(Data!$M$2:$M$1294,Data!$F$2:$F$1294,"United States",Data!$D$2:$D$1294,"2025-01",Data!$G$2:$G$1294,"Motivational Speaking")</f>
        <v>1266</v>
      </c>
      <c r="F67" s="20">
        <f t="shared" si="11"/>
        <v>35.83886256</v>
      </c>
      <c r="G67" s="13">
        <f>IF(E67=0,"",SUMIFS(Data!$N$2:$N$1294,Data!$F$2:$F$1294,"United States",Data!$D$2:$D$1294,"2025-01",Data!$G$2:$G$1294,"Motivational Speaking")/E67)</f>
        <v>0.7638230648</v>
      </c>
      <c r="H67" s="10">
        <f>SUMIFS(Data!$R$2:$R$1294,Data!$F$2:$F$1294,"United States",Data!$D$2:$D$1294,"2025-01",Data!$G$2:$G$1294,"Motivational Speaking")</f>
        <v>45372</v>
      </c>
      <c r="I67" s="10">
        <f>SUMIFS(Data!$S$2:$S$1294,Data!$F$2:$F$1294,"United States",Data!$D$2:$D$1294,"2025-01",Data!$G$2:$G$1294,"Motivational Speaking")</f>
        <v>28299</v>
      </c>
      <c r="J67" s="10">
        <f>SUMIFS(Data!$T$2:$T$1294,Data!$F$2:$F$1294,"United States",Data!$D$2:$D$1294,"2025-01",Data!$G$2:$G$1294,"Motivational Speaking")</f>
        <v>17073</v>
      </c>
      <c r="K67" s="2"/>
      <c r="L67" s="2"/>
      <c r="M67" s="2"/>
    </row>
    <row r="68" ht="15.0" customHeight="1">
      <c r="A68" s="7" t="s">
        <v>66</v>
      </c>
      <c r="B68" s="8">
        <f>SUMIFS(Data!$J$2:$J$1294,Data!$F$2:$F$1294,"United States",Data!$D$2:$D$1294,"2025-02",Data!$G$2:$G$1294,"Motivational Speaking")</f>
        <v>7025</v>
      </c>
      <c r="C68" s="8">
        <f>SUMIFS(Data!$L$2:$L$1294,Data!$F$2:$F$1294,"United States",Data!$D$2:$D$1294,"2025-02",Data!$G$2:$G$1294,"Motivational Speaking")</f>
        <v>1222</v>
      </c>
      <c r="D68" s="16">
        <f t="shared" si="10"/>
        <v>0.1739501779</v>
      </c>
      <c r="E68" s="8">
        <f>SUMIFS(Data!$M$2:$M$1294,Data!$F$2:$F$1294,"United States",Data!$D$2:$D$1294,"2025-02",Data!$G$2:$G$1294,"Motivational Speaking")</f>
        <v>1141</v>
      </c>
      <c r="F68" s="21">
        <f t="shared" si="11"/>
        <v>37.5907099</v>
      </c>
      <c r="G68" s="16">
        <f>IF(E68=0,"",SUMIFS(Data!$N$2:$N$1294,Data!$F$2:$F$1294,"United States",Data!$D$2:$D$1294,"2025-02",Data!$G$2:$G$1294,"Motivational Speaking")/E68)</f>
        <v>0.7607361963</v>
      </c>
      <c r="H68" s="11">
        <f>SUMIFS(Data!$R$2:$R$1294,Data!$F$2:$F$1294,"United States",Data!$D$2:$D$1294,"2025-02",Data!$G$2:$G$1294,"Motivational Speaking")</f>
        <v>42891</v>
      </c>
      <c r="I68" s="11">
        <f>SUMIFS(Data!$S$2:$S$1294,Data!$F$2:$F$1294,"United States",Data!$D$2:$D$1294,"2025-02",Data!$G$2:$G$1294,"Motivational Speaking")</f>
        <v>24118</v>
      </c>
      <c r="J68" s="11">
        <f>SUMIFS(Data!$T$2:$T$1294,Data!$F$2:$F$1294,"United States",Data!$D$2:$D$1294,"2025-02",Data!$G$2:$G$1294,"Motivational Speaking")</f>
        <v>18772</v>
      </c>
      <c r="K68" s="2"/>
      <c r="L68" s="2"/>
      <c r="M68" s="2"/>
    </row>
    <row r="69" ht="15.0" customHeight="1">
      <c r="A69" s="4" t="s">
        <v>73</v>
      </c>
      <c r="B69" s="5">
        <f>SUMIFS(Data!$J$2:$J$1294,Data!$F$2:$F$1294,"United States",Data!$D$2:$D$1294,"2025-03",Data!$G$2:$G$1294,"Motivational Speaking")</f>
        <v>6523</v>
      </c>
      <c r="C69" s="5">
        <f>SUMIFS(Data!$L$2:$L$1294,Data!$F$2:$F$1294,"United States",Data!$D$2:$D$1294,"2025-03",Data!$G$2:$G$1294,"Motivational Speaking")</f>
        <v>1140</v>
      </c>
      <c r="D69" s="13">
        <f t="shared" si="10"/>
        <v>0.1747662119</v>
      </c>
      <c r="E69" s="5">
        <f>SUMIFS(Data!$M$2:$M$1294,Data!$F$2:$F$1294,"United States",Data!$D$2:$D$1294,"2025-03",Data!$G$2:$G$1294,"Motivational Speaking")</f>
        <v>1065</v>
      </c>
      <c r="F69" s="20">
        <f t="shared" si="11"/>
        <v>37.56995305</v>
      </c>
      <c r="G69" s="13">
        <f>IF(E69=0,"",SUMIFS(Data!$N$2:$N$1294,Data!$F$2:$F$1294,"United States",Data!$D$2:$D$1294,"2025-03",Data!$G$2:$G$1294,"Motivational Speaking")/E69)</f>
        <v>0.8037558685</v>
      </c>
      <c r="H69" s="10">
        <f>SUMIFS(Data!$R$2:$R$1294,Data!$F$2:$F$1294,"United States",Data!$D$2:$D$1294,"2025-03",Data!$G$2:$G$1294,"Motivational Speaking")</f>
        <v>40012</v>
      </c>
      <c r="I69" s="10">
        <f>SUMIFS(Data!$S$2:$S$1294,Data!$F$2:$F$1294,"United States",Data!$D$2:$D$1294,"2025-03",Data!$G$2:$G$1294,"Motivational Speaking")</f>
        <v>21175</v>
      </c>
      <c r="J69" s="10">
        <f>SUMIFS(Data!$T$2:$T$1294,Data!$F$2:$F$1294,"United States",Data!$D$2:$D$1294,"2025-03",Data!$G$2:$G$1294,"Motivational Speaking")</f>
        <v>18837</v>
      </c>
      <c r="K69" s="2"/>
      <c r="L69" s="2"/>
      <c r="M69" s="2"/>
    </row>
    <row r="70" ht="15.0" customHeight="1">
      <c r="A70" s="7" t="s">
        <v>60</v>
      </c>
      <c r="B70" s="8">
        <f>SUMIFS(Data!$J$2:$J$1294,Data!$F$2:$F$1294,"United States",Data!$D$2:$D$1294,"2025-04",Data!$G$2:$G$1294,"Motivational Speaking")</f>
        <v>7146</v>
      </c>
      <c r="C70" s="8">
        <f>SUMIFS(Data!$L$2:$L$1294,Data!$F$2:$F$1294,"United States",Data!$D$2:$D$1294,"2025-04",Data!$G$2:$G$1294,"Motivational Speaking")</f>
        <v>1127</v>
      </c>
      <c r="D70" s="16">
        <f t="shared" si="10"/>
        <v>0.1577106073</v>
      </c>
      <c r="E70" s="8">
        <f>SUMIFS(Data!$M$2:$M$1294,Data!$F$2:$F$1294,"United States",Data!$D$2:$D$1294,"2025-04",Data!$G$2:$G$1294,"Motivational Speaking")</f>
        <v>1047</v>
      </c>
      <c r="F70" s="21">
        <f t="shared" si="11"/>
        <v>43.52053486</v>
      </c>
      <c r="G70" s="16">
        <f>IF(E70=0,"",SUMIFS(Data!$N$2:$N$1294,Data!$F$2:$F$1294,"United States",Data!$D$2:$D$1294,"2025-04",Data!$G$2:$G$1294,"Motivational Speaking")/E70)</f>
        <v>0.8147086915</v>
      </c>
      <c r="H70" s="11">
        <f>SUMIFS(Data!$R$2:$R$1294,Data!$F$2:$F$1294,"United States",Data!$D$2:$D$1294,"2025-04",Data!$G$2:$G$1294,"Motivational Speaking")</f>
        <v>45566</v>
      </c>
      <c r="I70" s="11">
        <f>SUMIFS(Data!$S$2:$S$1294,Data!$F$2:$F$1294,"United States",Data!$D$2:$D$1294,"2025-04",Data!$G$2:$G$1294,"Motivational Speaking")</f>
        <v>24273</v>
      </c>
      <c r="J70" s="11">
        <f>SUMIFS(Data!$T$2:$T$1294,Data!$F$2:$F$1294,"United States",Data!$D$2:$D$1294,"2025-04",Data!$G$2:$G$1294,"Motivational Speaking")</f>
        <v>21293</v>
      </c>
      <c r="K70" s="2"/>
      <c r="L70" s="2"/>
      <c r="M70" s="2"/>
    </row>
    <row r="71" ht="15.0" customHeight="1">
      <c r="A71" s="4" t="s">
        <v>75</v>
      </c>
      <c r="B71" s="5">
        <f>SUMIFS(Data!$J$2:$J$1294,Data!$F$2:$F$1294,"United States",Data!$D$2:$D$1294,"2025-05",Data!$G$2:$G$1294,"Motivational Speaking")</f>
        <v>6192</v>
      </c>
      <c r="C71" s="5">
        <f>SUMIFS(Data!$L$2:$L$1294,Data!$F$2:$F$1294,"United States",Data!$D$2:$D$1294,"2025-05",Data!$G$2:$G$1294,"Motivational Speaking")</f>
        <v>1054</v>
      </c>
      <c r="D71" s="13">
        <f t="shared" si="10"/>
        <v>0.1702196382</v>
      </c>
      <c r="E71" s="5">
        <f>SUMIFS(Data!$M$2:$M$1294,Data!$F$2:$F$1294,"United States",Data!$D$2:$D$1294,"2025-05",Data!$G$2:$G$1294,"Motivational Speaking")</f>
        <v>983</v>
      </c>
      <c r="F71" s="20">
        <f t="shared" si="11"/>
        <v>45.41709054</v>
      </c>
      <c r="G71" s="13">
        <f>IF(E71=0,"",SUMIFS(Data!$N$2:$N$1294,Data!$F$2:$F$1294,"United States",Data!$D$2:$D$1294,"2025-05",Data!$G$2:$G$1294,"Motivational Speaking")/E71)</f>
        <v>0.8056968464</v>
      </c>
      <c r="H71" s="10">
        <f>SUMIFS(Data!$R$2:$R$1294,Data!$F$2:$F$1294,"United States",Data!$D$2:$D$1294,"2025-05",Data!$G$2:$G$1294,"Motivational Speaking")</f>
        <v>44645</v>
      </c>
      <c r="I71" s="10">
        <f>SUMIFS(Data!$S$2:$S$1294,Data!$F$2:$F$1294,"United States",Data!$D$2:$D$1294,"2025-05",Data!$G$2:$G$1294,"Motivational Speaking")</f>
        <v>23753</v>
      </c>
      <c r="J71" s="10">
        <f>SUMIFS(Data!$T$2:$T$1294,Data!$F$2:$F$1294,"United States",Data!$D$2:$D$1294,"2025-05",Data!$G$2:$G$1294,"Motivational Speaking")</f>
        <v>20892</v>
      </c>
      <c r="K71" s="2"/>
      <c r="L71" s="2"/>
      <c r="M71" s="2"/>
    </row>
    <row r="72" ht="15.0" customHeight="1">
      <c r="A72" s="7" t="s">
        <v>71</v>
      </c>
      <c r="B72" s="8">
        <f>SUMIFS(Data!$J$2:$J$1294,Data!$F$2:$F$1294,"United States",Data!$D$2:$D$1294,"2025-06",Data!$G$2:$G$1294,"Motivational Speaking")</f>
        <v>6074</v>
      </c>
      <c r="C72" s="8">
        <f>SUMIFS(Data!$L$2:$L$1294,Data!$F$2:$F$1294,"United States",Data!$D$2:$D$1294,"2025-06",Data!$G$2:$G$1294,"Motivational Speaking")</f>
        <v>988</v>
      </c>
      <c r="D72" s="16">
        <f t="shared" si="10"/>
        <v>0.1626605203</v>
      </c>
      <c r="E72" s="8">
        <f>SUMIFS(Data!$M$2:$M$1294,Data!$F$2:$F$1294,"United States",Data!$D$2:$D$1294,"2025-06",Data!$G$2:$G$1294,"Motivational Speaking")</f>
        <v>915</v>
      </c>
      <c r="F72" s="21">
        <f t="shared" si="11"/>
        <v>48.43278689</v>
      </c>
      <c r="G72" s="16">
        <f>IF(E72=0,"",SUMIFS(Data!$N$2:$N$1294,Data!$F$2:$F$1294,"United States",Data!$D$2:$D$1294,"2025-06",Data!$G$2:$G$1294,"Motivational Speaking")/E72)</f>
        <v>0.8961748634</v>
      </c>
      <c r="H72" s="11">
        <f>SUMIFS(Data!$R$2:$R$1294,Data!$F$2:$F$1294,"United States",Data!$D$2:$D$1294,"2025-06",Data!$G$2:$G$1294,"Motivational Speaking")</f>
        <v>44316</v>
      </c>
      <c r="I72" s="11">
        <f>SUMIFS(Data!$S$2:$S$1294,Data!$F$2:$F$1294,"United States",Data!$D$2:$D$1294,"2025-06",Data!$G$2:$G$1294,"Motivational Speaking")</f>
        <v>24549</v>
      </c>
      <c r="J72" s="11">
        <f>SUMIFS(Data!$T$2:$T$1294,Data!$F$2:$F$1294,"United States",Data!$D$2:$D$1294,"2025-06",Data!$G$2:$G$1294,"Motivational Speaking")</f>
        <v>19766</v>
      </c>
      <c r="K72" s="2"/>
      <c r="L72" s="2"/>
      <c r="M72" s="2"/>
    </row>
    <row r="73" ht="15.0" customHeight="1">
      <c r="A73" s="4" t="s">
        <v>69</v>
      </c>
      <c r="B73" s="5">
        <f>SUMIFS(Data!$J$2:$J$1294,Data!$F$2:$F$1294,"United States",Data!$D$2:$D$1294,"2025-07",Data!$G$2:$G$1294,"Motivational Speaking")</f>
        <v>6517</v>
      </c>
      <c r="C73" s="5">
        <f>SUMIFS(Data!$L$2:$L$1294,Data!$F$2:$F$1294,"United States",Data!$D$2:$D$1294,"2025-07",Data!$G$2:$G$1294,"Motivational Speaking")</f>
        <v>1085</v>
      </c>
      <c r="D73" s="13">
        <f t="shared" si="10"/>
        <v>0.1664876477</v>
      </c>
      <c r="E73" s="5">
        <f>SUMIFS(Data!$M$2:$M$1294,Data!$F$2:$F$1294,"United States",Data!$D$2:$D$1294,"2025-07",Data!$G$2:$G$1294,"Motivational Speaking")</f>
        <v>970</v>
      </c>
      <c r="F73" s="20">
        <f t="shared" si="11"/>
        <v>46.92371134</v>
      </c>
      <c r="G73" s="13">
        <f>IF(E73=0,"",SUMIFS(Data!$N$2:$N$1294,Data!$F$2:$F$1294,"United States",Data!$D$2:$D$1294,"2025-07",Data!$G$2:$G$1294,"Motivational Speaking")/E73)</f>
        <v>0.8494845361</v>
      </c>
      <c r="H73" s="10">
        <f>SUMIFS(Data!$R$2:$R$1294,Data!$F$2:$F$1294,"United States",Data!$D$2:$D$1294,"2025-07",Data!$G$2:$G$1294,"Motivational Speaking")</f>
        <v>45516</v>
      </c>
      <c r="I73" s="10">
        <f>SUMIFS(Data!$S$2:$S$1294,Data!$F$2:$F$1294,"United States",Data!$D$2:$D$1294,"2025-07",Data!$G$2:$G$1294,"Motivational Speaking")</f>
        <v>21763</v>
      </c>
      <c r="J73" s="10">
        <f>SUMIFS(Data!$T$2:$T$1294,Data!$F$2:$F$1294,"United States",Data!$D$2:$D$1294,"2025-07",Data!$G$2:$G$1294,"Motivational Speaking")</f>
        <v>23753</v>
      </c>
      <c r="K73" s="2"/>
      <c r="L73" s="2"/>
      <c r="M73" s="2"/>
    </row>
    <row r="74" ht="15.0" customHeight="1">
      <c r="A74" s="7" t="s">
        <v>62</v>
      </c>
      <c r="B74" s="8">
        <f>SUMIFS(Data!$J$2:$J$1294,Data!$F$2:$F$1294,"United States",Data!$D$2:$D$1294,"2025-08",Data!$G$2:$G$1294,"Motivational Speaking")</f>
        <v>5747</v>
      </c>
      <c r="C74" s="8">
        <f>SUMIFS(Data!$L$2:$L$1294,Data!$F$2:$F$1294,"United States",Data!$D$2:$D$1294,"2025-08",Data!$G$2:$G$1294,"Motivational Speaking")</f>
        <v>1019</v>
      </c>
      <c r="D74" s="16">
        <f t="shared" si="10"/>
        <v>0.1773099008</v>
      </c>
      <c r="E74" s="8">
        <f>SUMIFS(Data!$M$2:$M$1294,Data!$F$2:$F$1294,"United States",Data!$D$2:$D$1294,"2025-08",Data!$G$2:$G$1294,"Motivational Speaking")</f>
        <v>959</v>
      </c>
      <c r="F74" s="21">
        <f t="shared" si="11"/>
        <v>44.99895725</v>
      </c>
      <c r="G74" s="16">
        <f>IF(E74=0,"",SUMIFS(Data!$N$2:$N$1294,Data!$F$2:$F$1294,"United States",Data!$D$2:$D$1294,"2025-08",Data!$G$2:$G$1294,"Motivational Speaking")/E74)</f>
        <v>0.7914494265</v>
      </c>
      <c r="H74" s="11">
        <f>SUMIFS(Data!$R$2:$R$1294,Data!$F$2:$F$1294,"United States",Data!$D$2:$D$1294,"2025-08",Data!$G$2:$G$1294,"Motivational Speaking")</f>
        <v>43154</v>
      </c>
      <c r="I74" s="11">
        <f>SUMIFS(Data!$S$2:$S$1294,Data!$F$2:$F$1294,"United States",Data!$D$2:$D$1294,"2025-08",Data!$G$2:$G$1294,"Motivational Speaking")</f>
        <v>18881</v>
      </c>
      <c r="J74" s="11">
        <f>SUMIFS(Data!$T$2:$T$1294,Data!$F$2:$F$1294,"United States",Data!$D$2:$D$1294,"2025-08",Data!$G$2:$G$1294,"Motivational Speaking")</f>
        <v>24271</v>
      </c>
      <c r="K74" s="2"/>
      <c r="L74" s="2"/>
      <c r="M74" s="2"/>
    </row>
    <row r="75" ht="15.0" customHeight="1">
      <c r="A75" s="4" t="s">
        <v>78</v>
      </c>
      <c r="B75" s="5">
        <f>SUMIFS(Data!$J$2:$J$1294,Data!$F$2:$F$1294,"United States",Data!$D$2:$D$1294,"2025-09",Data!$G$2:$G$1294,"Motivational Speaking")</f>
        <v>6110</v>
      </c>
      <c r="C75" s="5">
        <f>SUMIFS(Data!$L$2:$L$1294,Data!$F$2:$F$1294,"United States",Data!$D$2:$D$1294,"2025-09",Data!$G$2:$G$1294,"Motivational Speaking")</f>
        <v>1059</v>
      </c>
      <c r="D75" s="13">
        <f t="shared" si="10"/>
        <v>0.1733224223</v>
      </c>
      <c r="E75" s="5">
        <f>SUMIFS(Data!$M$2:$M$1294,Data!$F$2:$F$1294,"United States",Data!$D$2:$D$1294,"2025-09",Data!$G$2:$G$1294,"Motivational Speaking")</f>
        <v>994</v>
      </c>
      <c r="F75" s="20">
        <f t="shared" si="11"/>
        <v>50.29476861</v>
      </c>
      <c r="G75" s="13">
        <f>IF(E75=0,"",SUMIFS(Data!$N$2:$N$1294,Data!$F$2:$F$1294,"United States",Data!$D$2:$D$1294,"2025-09",Data!$G$2:$G$1294,"Motivational Speaking")/E75)</f>
        <v>0.8430583501</v>
      </c>
      <c r="H75" s="10">
        <f>SUMIFS(Data!$R$2:$R$1294,Data!$F$2:$F$1294,"United States",Data!$D$2:$D$1294,"2025-09",Data!$G$2:$G$1294,"Motivational Speaking")</f>
        <v>49993</v>
      </c>
      <c r="I75" s="10">
        <f>SUMIFS(Data!$S$2:$S$1294,Data!$F$2:$F$1294,"United States",Data!$D$2:$D$1294,"2025-09",Data!$G$2:$G$1294,"Motivational Speaking")</f>
        <v>23239</v>
      </c>
      <c r="J75" s="10">
        <f>SUMIFS(Data!$T$2:$T$1294,Data!$F$2:$F$1294,"United States",Data!$D$2:$D$1294,"2025-09",Data!$G$2:$G$1294,"Motivational Speaking")</f>
        <v>26754</v>
      </c>
      <c r="K75" s="2"/>
      <c r="L75" s="2"/>
      <c r="M75" s="2"/>
    </row>
    <row r="76" ht="15.0" customHeight="1">
      <c r="A76" s="7" t="s">
        <v>77</v>
      </c>
      <c r="B76" s="8">
        <f>SUMIFS(Data!$J$2:$J$1294,Data!$F$2:$F$1294,"United States",Data!$D$2:$D$1294,"2025-10",Data!$G$2:$G$1294,"Motivational Speaking")</f>
        <v>6359</v>
      </c>
      <c r="C76" s="8">
        <f>SUMIFS(Data!$L$2:$L$1294,Data!$F$2:$F$1294,"United States",Data!$D$2:$D$1294,"2025-10",Data!$G$2:$G$1294,"Motivational Speaking")</f>
        <v>1106</v>
      </c>
      <c r="D76" s="16">
        <f t="shared" si="10"/>
        <v>0.173926718</v>
      </c>
      <c r="E76" s="8">
        <f>SUMIFS(Data!$M$2:$M$1294,Data!$F$2:$F$1294,"United States",Data!$D$2:$D$1294,"2025-10",Data!$G$2:$G$1294,"Motivational Speaking")</f>
        <v>1008</v>
      </c>
      <c r="F76" s="21">
        <f t="shared" si="11"/>
        <v>54.9702381</v>
      </c>
      <c r="G76" s="16">
        <f>IF(E76=0,"",SUMIFS(Data!$N$2:$N$1294,Data!$F$2:$F$1294,"United States",Data!$D$2:$D$1294,"2025-10",Data!$G$2:$G$1294,"Motivational Speaking")/E76)</f>
        <v>0.8353174603</v>
      </c>
      <c r="H76" s="11">
        <f>SUMIFS(Data!$R$2:$R$1294,Data!$F$2:$F$1294,"United States",Data!$D$2:$D$1294,"2025-10",Data!$G$2:$G$1294,"Motivational Speaking")</f>
        <v>55410</v>
      </c>
      <c r="I76" s="11">
        <f>SUMIFS(Data!$S$2:$S$1294,Data!$F$2:$F$1294,"United States",Data!$D$2:$D$1294,"2025-10",Data!$G$2:$G$1294,"Motivational Speaking")</f>
        <v>23192</v>
      </c>
      <c r="J76" s="11">
        <f>SUMIFS(Data!$T$2:$T$1294,Data!$F$2:$F$1294,"United States",Data!$D$2:$D$1294,"2025-10",Data!$G$2:$G$1294,"Motivational Speaking")</f>
        <v>32218</v>
      </c>
      <c r="K76" s="2"/>
      <c r="L76" s="2"/>
      <c r="M76" s="2"/>
    </row>
    <row r="77" ht="15.0" customHeight="1">
      <c r="A77" s="4" t="s">
        <v>76</v>
      </c>
      <c r="B77" s="5">
        <f>SUMIFS(Data!$J$2:$J$1294,Data!$F$2:$F$1294,"United States",Data!$D$2:$D$1294,"2025-11",Data!$G$2:$G$1294,"Motivational Speaking")</f>
        <v>6291</v>
      </c>
      <c r="C77" s="5">
        <f>SUMIFS(Data!$L$2:$L$1294,Data!$F$2:$F$1294,"United States",Data!$D$2:$D$1294,"2025-11",Data!$G$2:$G$1294,"Motivational Speaking")</f>
        <v>1095</v>
      </c>
      <c r="D77" s="13">
        <f t="shared" si="10"/>
        <v>0.1740581784</v>
      </c>
      <c r="E77" s="5">
        <f>SUMIFS(Data!$M$2:$M$1294,Data!$F$2:$F$1294,"United States",Data!$D$2:$D$1294,"2025-11",Data!$G$2:$G$1294,"Motivational Speaking")</f>
        <v>1024</v>
      </c>
      <c r="F77" s="20">
        <f t="shared" si="11"/>
        <v>52.34765625</v>
      </c>
      <c r="G77" s="13">
        <f>IF(E77=0,"",SUMIFS(Data!$N$2:$N$1294,Data!$F$2:$F$1294,"United States",Data!$D$2:$D$1294,"2025-11",Data!$G$2:$G$1294,"Motivational Speaking")/E77)</f>
        <v>0.7861328125</v>
      </c>
      <c r="H77" s="10">
        <f>SUMIFS(Data!$R$2:$R$1294,Data!$F$2:$F$1294,"United States",Data!$D$2:$D$1294,"2025-11",Data!$G$2:$G$1294,"Motivational Speaking")</f>
        <v>53604</v>
      </c>
      <c r="I77" s="10">
        <f>SUMIFS(Data!$S$2:$S$1294,Data!$F$2:$F$1294,"United States",Data!$D$2:$D$1294,"2025-11",Data!$G$2:$G$1294,"Motivational Speaking")</f>
        <v>22716</v>
      </c>
      <c r="J77" s="10">
        <f>SUMIFS(Data!$T$2:$T$1294,Data!$F$2:$F$1294,"United States",Data!$D$2:$D$1294,"2025-11",Data!$G$2:$G$1294,"Motivational Speaking")</f>
        <v>30889</v>
      </c>
      <c r="K77" s="2"/>
      <c r="L77" s="2"/>
      <c r="M77" s="2"/>
    </row>
    <row r="78" ht="15.0" customHeight="1">
      <c r="A78" s="7" t="s">
        <v>64</v>
      </c>
      <c r="B78" s="8">
        <f>SUMIFS(Data!$J$2:$J$1294,Data!$F$2:$F$1294,"United States",Data!$D$2:$D$1294,"2025-12",Data!$G$2:$G$1294,"Motivational Speaking")</f>
        <v>5135</v>
      </c>
      <c r="C78" s="8">
        <f>SUMIFS(Data!$L$2:$L$1294,Data!$F$2:$F$1294,"United States",Data!$D$2:$D$1294,"2025-12",Data!$G$2:$G$1294,"Motivational Speaking")</f>
        <v>784</v>
      </c>
      <c r="D78" s="16">
        <f t="shared" si="10"/>
        <v>0.152677702</v>
      </c>
      <c r="E78" s="8">
        <f>SUMIFS(Data!$M$2:$M$1294,Data!$F$2:$F$1294,"United States",Data!$D$2:$D$1294,"2025-12",Data!$G$2:$G$1294,"Motivational Speaking")</f>
        <v>734</v>
      </c>
      <c r="F78" s="21">
        <f t="shared" si="11"/>
        <v>56.60354223</v>
      </c>
      <c r="G78" s="16">
        <f>IF(E78=0,"",SUMIFS(Data!$N$2:$N$1294,Data!$F$2:$F$1294,"United States",Data!$D$2:$D$1294,"2025-12",Data!$G$2:$G$1294,"Motivational Speaking")/E78)</f>
        <v>0.8310626703</v>
      </c>
      <c r="H78" s="11">
        <f>SUMIFS(Data!$R$2:$R$1294,Data!$F$2:$F$1294,"United States",Data!$D$2:$D$1294,"2025-12",Data!$G$2:$G$1294,"Motivational Speaking")</f>
        <v>41547</v>
      </c>
      <c r="I78" s="11">
        <f>SUMIFS(Data!$S$2:$S$1294,Data!$F$2:$F$1294,"United States",Data!$D$2:$D$1294,"2025-12",Data!$G$2:$G$1294,"Motivational Speaking")</f>
        <v>14704</v>
      </c>
      <c r="J78" s="11">
        <f>SUMIFS(Data!$T$2:$T$1294,Data!$F$2:$F$1294,"United States",Data!$D$2:$D$1294,"2025-12",Data!$G$2:$G$1294,"Motivational Speaking")</f>
        <v>26843</v>
      </c>
      <c r="K78" s="2"/>
      <c r="L78" s="2"/>
      <c r="M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ht="15.0" customHeight="1">
      <c r="A80" s="25" t="s">
        <v>142</v>
      </c>
      <c r="K80" s="2"/>
      <c r="L80" s="2"/>
      <c r="M80" s="2"/>
    </row>
    <row r="81" ht="15.0" customHeight="1">
      <c r="K81" s="2"/>
      <c r="L81" s="2"/>
      <c r="M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mergeCells count="2">
    <mergeCell ref="A1:J1"/>
    <mergeCell ref="A80:J81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E9AAF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7" width="18.0"/>
    <col customWidth="1" min="8" max="26" width="8.71"/>
  </cols>
  <sheetData>
    <row r="1">
      <c r="A1" s="22" t="s">
        <v>143</v>
      </c>
    </row>
    <row r="3">
      <c r="A3" s="27" t="s">
        <v>144</v>
      </c>
    </row>
    <row r="4">
      <c r="A4" s="1" t="s">
        <v>145</v>
      </c>
      <c r="B4" s="1" t="s">
        <v>25</v>
      </c>
      <c r="C4" s="1" t="s">
        <v>63</v>
      </c>
    </row>
    <row r="5">
      <c r="A5" s="31" t="s">
        <v>92</v>
      </c>
      <c r="B5" s="32">
        <f>SUMIFS(Data!$K$2:$K$1294,Data!$F$2:$F$1294,"United Kingdom",Data!$E$2:$E$1294,"H2 2024")/SUMIFS(Data!$J$2:$J$1294,Data!$F$2:$F$1294,"United Kingdom",Data!$E$2:$E$1294,"H2 2024")</f>
        <v>0.5734982483</v>
      </c>
      <c r="C5" s="32">
        <f>SUMIFS(Data!$K$2:$K$1294,Data!$F$2:$F$1294,"United Kingdom",Data!$E$2:$E$1294,"H2 2025")/SUMIFS(Data!$J$2:$J$1294,Data!$F$2:$F$1294,"United Kingdom",Data!$E$2:$E$1294,"H2 2025")</f>
        <v>0.4617416158</v>
      </c>
    </row>
    <row r="6">
      <c r="A6" s="31" t="s">
        <v>93</v>
      </c>
      <c r="B6" s="32">
        <f>SUMIFS(Data!$L$2:$L$1294,Data!$F$2:$F$1294,"United Kingdom",Data!$E$2:$E$1294,"H2 2024")/SUMIFS(Data!$J$2:$J$1294,Data!$F$2:$F$1294,"United Kingdom",Data!$E$2:$E$1294,"H2 2024")</f>
        <v>0.2928948682</v>
      </c>
      <c r="C6" s="32">
        <f>SUMIFS(Data!$L$2:$L$1294,Data!$F$2:$F$1294,"United Kingdom",Data!$E$2:$E$1294,"H2 2025")/SUMIFS(Data!$J$2:$J$1294,Data!$F$2:$F$1294,"United Kingdom",Data!$E$2:$E$1294,"H2 2025")</f>
        <v>0.2440433548</v>
      </c>
    </row>
    <row r="7">
      <c r="A7" s="31" t="s">
        <v>94</v>
      </c>
      <c r="B7" s="32">
        <f>SUMIFS(Data!$M$2:$M$1294,Data!$F$2:$F$1294,"United Kingdom",Data!$E$2:$E$1294,"H2 2024")/SUMIFS(Data!$L$2:$L$1294,Data!$F$2:$F$1294,"United Kingdom",Data!$E$2:$E$1294,"H2 2024")</f>
        <v>0.9439281482</v>
      </c>
      <c r="C7" s="32">
        <f>SUMIFS(Data!$M$2:$M$1294,Data!$F$2:$F$1294,"United Kingdom",Data!$E$2:$E$1294,"H2 2025")/SUMIFS(Data!$L$2:$L$1294,Data!$F$2:$F$1294,"United Kingdom",Data!$E$2:$E$1294,"H2 2025")</f>
        <v>0.9261367525</v>
      </c>
    </row>
    <row r="8">
      <c r="A8" s="31" t="s">
        <v>95</v>
      </c>
      <c r="B8" s="32">
        <f>SUMIFS(Data!$N$2:$N$1294,Data!$F$2:$F$1294,"United Kingdom",Data!$E$2:$E$1294,"H2 2024")/SUMIFS(Data!$M$2:$M$1294,Data!$F$2:$F$1294,"United Kingdom",Data!$E$2:$E$1294,"H2 2024")</f>
        <v>0.5520388235</v>
      </c>
      <c r="C8" s="32">
        <f>SUMIFS(Data!$N$2:$N$1294,Data!$F$2:$F$1294,"United Kingdom",Data!$E$2:$E$1294,"H2 2025")/SUMIFS(Data!$M$2:$M$1294,Data!$F$2:$F$1294,"United Kingdom",Data!$E$2:$E$1294,"H2 2025")</f>
        <v>0.5357056343</v>
      </c>
    </row>
    <row r="11">
      <c r="A11" s="27" t="s">
        <v>146</v>
      </c>
    </row>
    <row r="12">
      <c r="A12" s="1" t="s">
        <v>147</v>
      </c>
      <c r="B12" s="1" t="s">
        <v>92</v>
      </c>
      <c r="C12" s="1" t="s">
        <v>93</v>
      </c>
      <c r="D12" s="1" t="s">
        <v>94</v>
      </c>
      <c r="E12" s="1" t="s">
        <v>95</v>
      </c>
    </row>
    <row r="13">
      <c r="A13" s="31" t="s">
        <v>25</v>
      </c>
      <c r="B13" s="32">
        <f>B5</f>
        <v>0.5734982483</v>
      </c>
      <c r="C13" s="32">
        <f>B6</f>
        <v>0.2928948682</v>
      </c>
      <c r="D13" s="32">
        <f>B7</f>
        <v>0.9439281482</v>
      </c>
      <c r="E13" s="32">
        <f>B8</f>
        <v>0.5520388235</v>
      </c>
    </row>
    <row r="14">
      <c r="A14" s="31" t="s">
        <v>63</v>
      </c>
      <c r="B14" s="32">
        <f>C5</f>
        <v>0.4617416158</v>
      </c>
      <c r="C14" s="32">
        <f>C6</f>
        <v>0.2440433548</v>
      </c>
      <c r="D14" s="32">
        <f>C7</f>
        <v>0.9261367525</v>
      </c>
      <c r="E14" s="32">
        <f>C8</f>
        <v>0.5357056343</v>
      </c>
    </row>
    <row r="17">
      <c r="A17" s="27" t="s">
        <v>148</v>
      </c>
    </row>
    <row r="18">
      <c r="A18" s="1" t="s">
        <v>149</v>
      </c>
      <c r="B18" s="1" t="s">
        <v>103</v>
      </c>
      <c r="C18" s="1" t="s">
        <v>96</v>
      </c>
      <c r="D18" s="1" t="s">
        <v>105</v>
      </c>
    </row>
    <row r="19">
      <c r="A19" s="4" t="s">
        <v>150</v>
      </c>
      <c r="B19" s="13">
        <f>IFERROR(SUMIFS(Data!$L$2:$L$1294,Data!$F$2:$F$1294,"United Kingdom",Data!$E$2:$E$1294,"H2 2024",Data!$I$2:$I$1294,"Channel 1")/SUMIFS(Data!$J$2:$J$1294,Data!$F$2:$F$1294,"United Kingdom",Data!$E$2:$E$1294,"H2 2024",Data!$I$2:$I$1294,"Channel 1"),0)</f>
        <v>0.2874447754</v>
      </c>
      <c r="C19" s="23">
        <f>IFERROR(SUMIFS(Data!$R$2:$R$1294,Data!$F$2:$F$1294,"United Kingdom",Data!$E$2:$E$1294,"H2 2024",Data!$I$2:$I$1294,"Channel 1")/SUMIFS(Data!$S$2:$S$1294,Data!$F$2:$F$1294,"United Kingdom",Data!$E$2:$E$1294,"H2 2024",Data!$I$2:$I$1294,"Channel 1"),0)</f>
        <v>1.640112348</v>
      </c>
      <c r="D19" s="10">
        <f>SUMIFS(Data!$R$2:$R$1294,Data!$F$2:$F$1294,"United Kingdom",Data!$E$2:$E$1294,"H2 2024",Data!$I$2:$I$1294,"Channel 1")</f>
        <v>1782192</v>
      </c>
    </row>
    <row r="20">
      <c r="A20" s="7" t="s">
        <v>151</v>
      </c>
      <c r="B20" s="16">
        <f>IFERROR(SUMIFS(Data!$L$2:$L$1294,Data!$F$2:$F$1294,"United Kingdom",Data!$E$2:$E$1294,"H2 2025",Data!$I$2:$I$1294,"Channel 1")/SUMIFS(Data!$J$2:$J$1294,Data!$F$2:$F$1294,"United Kingdom",Data!$E$2:$E$1294,"H2 2025",Data!$I$2:$I$1294,"Channel 1"),0)</f>
        <v>0.2798766119</v>
      </c>
      <c r="C20" s="24">
        <f>IFERROR(SUMIFS(Data!$R$2:$R$1294,Data!$F$2:$F$1294,"United Kingdom",Data!$E$2:$E$1294,"H2 2025",Data!$I$2:$I$1294,"Channel 1")/SUMIFS(Data!$S$2:$S$1294,Data!$F$2:$F$1294,"United Kingdom",Data!$E$2:$E$1294,"H2 2025",Data!$I$2:$I$1294,"Channel 1"),0)</f>
        <v>1.58941013</v>
      </c>
      <c r="D20" s="11">
        <f>SUMIFS(Data!$R$2:$R$1294,Data!$F$2:$F$1294,"United Kingdom",Data!$E$2:$E$1294,"H2 2025",Data!$I$2:$I$1294,"Channel 1")</f>
        <v>1304413</v>
      </c>
    </row>
    <row r="21" ht="15.75" customHeight="1">
      <c r="A21" s="4" t="s">
        <v>152</v>
      </c>
      <c r="B21" s="13">
        <f>IFERROR(SUMIFS(Data!$L$2:$L$1294,Data!$F$2:$F$1294,"United Kingdom",Data!$E$2:$E$1294,"H2 2024",Data!$I$2:$I$1294,"Channel 2")/SUMIFS(Data!$J$2:$J$1294,Data!$F$2:$F$1294,"United Kingdom",Data!$E$2:$E$1294,"H2 2024",Data!$I$2:$I$1294,"Channel 2"),0)</f>
        <v>0.2099390259</v>
      </c>
      <c r="C21" s="23">
        <f>IFERROR(SUMIFS(Data!$R$2:$R$1294,Data!$F$2:$F$1294,"United Kingdom",Data!$E$2:$E$1294,"H2 2024",Data!$I$2:$I$1294,"Channel 2")/SUMIFS(Data!$S$2:$S$1294,Data!$F$2:$F$1294,"United Kingdom",Data!$E$2:$E$1294,"H2 2024",Data!$I$2:$I$1294,"Channel 2"),0)</f>
        <v>1.503894436</v>
      </c>
      <c r="D21" s="10">
        <f>SUMIFS(Data!$R$2:$R$1294,Data!$F$2:$F$1294,"United Kingdom",Data!$E$2:$E$1294,"H2 2024",Data!$I$2:$I$1294,"Channel 2")</f>
        <v>299857</v>
      </c>
    </row>
    <row r="22" ht="15.75" customHeight="1">
      <c r="A22" s="7" t="s">
        <v>153</v>
      </c>
      <c r="B22" s="16">
        <f>IFERROR(SUMIFS(Data!$L$2:$L$1294,Data!$F$2:$F$1294,"United Kingdom",Data!$E$2:$E$1294,"H2 2025",Data!$I$2:$I$1294,"Channel 2")/SUMIFS(Data!$J$2:$J$1294,Data!$F$2:$F$1294,"United Kingdom",Data!$E$2:$E$1294,"H2 2025",Data!$I$2:$I$1294,"Channel 2"),0)</f>
        <v>0.1424887187</v>
      </c>
      <c r="C22" s="24">
        <f>IFERROR(SUMIFS(Data!$R$2:$R$1294,Data!$F$2:$F$1294,"United Kingdom",Data!$E$2:$E$1294,"H2 2025",Data!$I$2:$I$1294,"Channel 2")/SUMIFS(Data!$S$2:$S$1294,Data!$F$2:$F$1294,"United Kingdom",Data!$E$2:$E$1294,"H2 2025",Data!$I$2:$I$1294,"Channel 2"),0)</f>
        <v>1.275022432</v>
      </c>
      <c r="D22" s="11">
        <f>SUMIFS(Data!$R$2:$R$1294,Data!$F$2:$F$1294,"United Kingdom",Data!$E$2:$E$1294,"H2 2025",Data!$I$2:$I$1294,"Channel 2")</f>
        <v>373718</v>
      </c>
    </row>
    <row r="23" ht="15.75" customHeight="1">
      <c r="A23" s="4" t="s">
        <v>154</v>
      </c>
      <c r="B23" s="13">
        <f>IFERROR(SUMIFS(Data!$L$2:$L$1294,Data!$F$2:$F$1294,"United Kingdom",Data!$E$2:$E$1294,"H2 2024",Data!$I$2:$I$1294,"Channel 3")/SUMIFS(Data!$J$2:$J$1294,Data!$F$2:$F$1294,"United Kingdom",Data!$E$2:$E$1294,"H2 2024",Data!$I$2:$I$1294,"Channel 3"),0)</f>
        <v>0.3972197806</v>
      </c>
      <c r="C23" s="23">
        <f>IFERROR(SUMIFS(Data!$R$2:$R$1294,Data!$F$2:$F$1294,"United Kingdom",Data!$E$2:$E$1294,"H2 2024",Data!$I$2:$I$1294,"Channel 3")/SUMIFS(Data!$S$2:$S$1294,Data!$F$2:$F$1294,"United Kingdom",Data!$E$2:$E$1294,"H2 2024",Data!$I$2:$I$1294,"Channel 3"),0)</f>
        <v>17.61626668</v>
      </c>
      <c r="D23" s="10">
        <f>SUMIFS(Data!$R$2:$R$1294,Data!$F$2:$F$1294,"United Kingdom",Data!$E$2:$E$1294,"H2 2024",Data!$I$2:$I$1294,"Channel 3")</f>
        <v>413260</v>
      </c>
    </row>
    <row r="24" ht="15.75" customHeight="1">
      <c r="A24" s="7" t="s">
        <v>155</v>
      </c>
      <c r="B24" s="16">
        <f>IFERROR(SUMIFS(Data!$L$2:$L$1294,Data!$F$2:$F$1294,"United Kingdom",Data!$E$2:$E$1294,"H2 2025",Data!$I$2:$I$1294,"Channel 3")/SUMIFS(Data!$J$2:$J$1294,Data!$F$2:$F$1294,"United Kingdom",Data!$E$2:$E$1294,"H2 2025",Data!$I$2:$I$1294,"Channel 3"),0)</f>
        <v>0.3448220404</v>
      </c>
      <c r="C24" s="24">
        <f>IFERROR(SUMIFS(Data!$R$2:$R$1294,Data!$F$2:$F$1294,"United Kingdom",Data!$E$2:$E$1294,"H2 2025",Data!$I$2:$I$1294,"Channel 3")/SUMIFS(Data!$S$2:$S$1294,Data!$F$2:$F$1294,"United Kingdom",Data!$E$2:$E$1294,"H2 2025",Data!$I$2:$I$1294,"Channel 3"),0)</f>
        <v>28.09480165</v>
      </c>
      <c r="D24" s="11">
        <f>SUMIFS(Data!$R$2:$R$1294,Data!$F$2:$F$1294,"United Kingdom",Data!$E$2:$E$1294,"H2 2025",Data!$I$2:$I$1294,"Channel 3")</f>
        <v>401559</v>
      </c>
    </row>
    <row r="25" ht="15.75" customHeight="1"/>
    <row r="26" ht="15.75" customHeight="1"/>
    <row r="27" ht="15.75" customHeight="1">
      <c r="A27" s="27" t="s">
        <v>156</v>
      </c>
    </row>
    <row r="28" ht="15.75" customHeight="1">
      <c r="A28" s="1" t="s">
        <v>3</v>
      </c>
      <c r="B28" s="1" t="s">
        <v>29</v>
      </c>
      <c r="C28" s="1" t="s">
        <v>30</v>
      </c>
      <c r="D28" s="1" t="s">
        <v>31</v>
      </c>
    </row>
    <row r="29" ht="15.75" customHeight="1">
      <c r="A29" s="4" t="s">
        <v>52</v>
      </c>
      <c r="B29" s="10">
        <f>SUMIFS(Data!$R$2:$R$1294,Data!$F$2:$F$1294,"United Kingdom",Data!$D$2:$D$1294,"2024-07",Data!$I$2:$I$1294,"Channel 1")</f>
        <v>353324</v>
      </c>
      <c r="C29" s="10">
        <f>SUMIFS(Data!$R$2:$R$1294,Data!$F$2:$F$1294,"United Kingdom",Data!$D$2:$D$1294,"2024-07",Data!$I$2:$I$1294,"Channel 2")</f>
        <v>53194</v>
      </c>
      <c r="D29" s="10">
        <f>SUMIFS(Data!$R$2:$R$1294,Data!$F$2:$F$1294,"United Kingdom",Data!$D$2:$D$1294,"2024-07",Data!$I$2:$I$1294,"Channel 3")</f>
        <v>92755</v>
      </c>
    </row>
    <row r="30" ht="15.75" customHeight="1">
      <c r="A30" s="7" t="s">
        <v>24</v>
      </c>
      <c r="B30" s="11">
        <f>SUMIFS(Data!$R$2:$R$1294,Data!$F$2:$F$1294,"United Kingdom",Data!$D$2:$D$1294,"2024-08",Data!$I$2:$I$1294,"Channel 1")</f>
        <v>339725</v>
      </c>
      <c r="C30" s="11">
        <f>SUMIFS(Data!$R$2:$R$1294,Data!$F$2:$F$1294,"United Kingdom",Data!$D$2:$D$1294,"2024-08",Data!$I$2:$I$1294,"Channel 2")</f>
        <v>51773</v>
      </c>
      <c r="D30" s="11">
        <f>SUMIFS(Data!$R$2:$R$1294,Data!$F$2:$F$1294,"United Kingdom",Data!$D$2:$D$1294,"2024-08",Data!$I$2:$I$1294,"Channel 3")</f>
        <v>75192</v>
      </c>
    </row>
    <row r="31" ht="15.75" customHeight="1">
      <c r="A31" s="4" t="s">
        <v>58</v>
      </c>
      <c r="B31" s="10">
        <f>SUMIFS(Data!$R$2:$R$1294,Data!$F$2:$F$1294,"United Kingdom",Data!$D$2:$D$1294,"2024-09",Data!$I$2:$I$1294,"Channel 1")</f>
        <v>308473</v>
      </c>
      <c r="C31" s="10">
        <f>SUMIFS(Data!$R$2:$R$1294,Data!$F$2:$F$1294,"United Kingdom",Data!$D$2:$D$1294,"2024-09",Data!$I$2:$I$1294,"Channel 2")</f>
        <v>53944</v>
      </c>
      <c r="D31" s="10">
        <f>SUMIFS(Data!$R$2:$R$1294,Data!$F$2:$F$1294,"United Kingdom",Data!$D$2:$D$1294,"2024-09",Data!$I$2:$I$1294,"Channel 3")</f>
        <v>71116</v>
      </c>
    </row>
    <row r="32" ht="15.75" customHeight="1">
      <c r="A32" s="7" t="s">
        <v>56</v>
      </c>
      <c r="B32" s="11">
        <f>SUMIFS(Data!$R$2:$R$1294,Data!$F$2:$F$1294,"United Kingdom",Data!$D$2:$D$1294,"2024-10",Data!$I$2:$I$1294,"Channel 1")</f>
        <v>318594</v>
      </c>
      <c r="C32" s="11">
        <f>SUMIFS(Data!$R$2:$R$1294,Data!$F$2:$F$1294,"United Kingdom",Data!$D$2:$D$1294,"2024-10",Data!$I$2:$I$1294,"Channel 2")</f>
        <v>53103</v>
      </c>
      <c r="D32" s="11">
        <f>SUMIFS(Data!$R$2:$R$1294,Data!$F$2:$F$1294,"United Kingdom",Data!$D$2:$D$1294,"2024-10",Data!$I$2:$I$1294,"Channel 3")</f>
        <v>74959</v>
      </c>
    </row>
    <row r="33" ht="15.75" customHeight="1">
      <c r="A33" s="4" t="s">
        <v>54</v>
      </c>
      <c r="B33" s="10">
        <f>SUMIFS(Data!$R$2:$R$1294,Data!$F$2:$F$1294,"United Kingdom",Data!$D$2:$D$1294,"2024-11",Data!$I$2:$I$1294,"Channel 1")</f>
        <v>274168</v>
      </c>
      <c r="C33" s="10">
        <f>SUMIFS(Data!$R$2:$R$1294,Data!$F$2:$F$1294,"United Kingdom",Data!$D$2:$D$1294,"2024-11",Data!$I$2:$I$1294,"Channel 2")</f>
        <v>47862</v>
      </c>
      <c r="D33" s="10">
        <f>SUMIFS(Data!$R$2:$R$1294,Data!$F$2:$F$1294,"United Kingdom",Data!$D$2:$D$1294,"2024-11",Data!$I$2:$I$1294,"Channel 3")</f>
        <v>59732</v>
      </c>
    </row>
    <row r="34" ht="15.75" customHeight="1">
      <c r="A34" s="7" t="s">
        <v>50</v>
      </c>
      <c r="B34" s="11">
        <f>SUMIFS(Data!$R$2:$R$1294,Data!$F$2:$F$1294,"United Kingdom",Data!$D$2:$D$1294,"2024-12",Data!$I$2:$I$1294,"Channel 1")</f>
        <v>187908</v>
      </c>
      <c r="C34" s="11">
        <f>SUMIFS(Data!$R$2:$R$1294,Data!$F$2:$F$1294,"United Kingdom",Data!$D$2:$D$1294,"2024-12",Data!$I$2:$I$1294,"Channel 2")</f>
        <v>39981</v>
      </c>
      <c r="D34" s="11">
        <f>SUMIFS(Data!$R$2:$R$1294,Data!$F$2:$F$1294,"United Kingdom",Data!$D$2:$D$1294,"2024-12",Data!$I$2:$I$1294,"Channel 3")</f>
        <v>39506</v>
      </c>
    </row>
    <row r="35" ht="15.75" customHeight="1">
      <c r="A35" s="4" t="s">
        <v>68</v>
      </c>
      <c r="B35" s="10">
        <f>SUMIFS(Data!$R$2:$R$1294,Data!$F$2:$F$1294,"United Kingdom",Data!$D$2:$D$1294,"2025-01",Data!$I$2:$I$1294,"Channel 1")</f>
        <v>359313</v>
      </c>
      <c r="C35" s="10">
        <f>SUMIFS(Data!$R$2:$R$1294,Data!$F$2:$F$1294,"United Kingdom",Data!$D$2:$D$1294,"2025-01",Data!$I$2:$I$1294,"Channel 2")</f>
        <v>64819</v>
      </c>
      <c r="D35" s="10">
        <f>SUMIFS(Data!$R$2:$R$1294,Data!$F$2:$F$1294,"United Kingdom",Data!$D$2:$D$1294,"2025-01",Data!$I$2:$I$1294,"Channel 3")</f>
        <v>64977</v>
      </c>
    </row>
    <row r="36" ht="15.75" customHeight="1">
      <c r="A36" s="7" t="s">
        <v>66</v>
      </c>
      <c r="B36" s="11">
        <f>SUMIFS(Data!$R$2:$R$1294,Data!$F$2:$F$1294,"United Kingdom",Data!$D$2:$D$1294,"2025-02",Data!$I$2:$I$1294,"Channel 1")</f>
        <v>225914</v>
      </c>
      <c r="C36" s="11">
        <f>SUMIFS(Data!$R$2:$R$1294,Data!$F$2:$F$1294,"United Kingdom",Data!$D$2:$D$1294,"2025-02",Data!$I$2:$I$1294,"Channel 2")</f>
        <v>59139</v>
      </c>
      <c r="D36" s="11">
        <f>SUMIFS(Data!$R$2:$R$1294,Data!$F$2:$F$1294,"United Kingdom",Data!$D$2:$D$1294,"2025-02",Data!$I$2:$I$1294,"Channel 3")</f>
        <v>54588</v>
      </c>
    </row>
    <row r="37" ht="15.75" customHeight="1">
      <c r="A37" s="4" t="s">
        <v>73</v>
      </c>
      <c r="B37" s="10">
        <f>SUMIFS(Data!$R$2:$R$1294,Data!$F$2:$F$1294,"United Kingdom",Data!$D$2:$D$1294,"2025-03",Data!$I$2:$I$1294,"Channel 1")</f>
        <v>274847</v>
      </c>
      <c r="C37" s="10">
        <f>SUMIFS(Data!$R$2:$R$1294,Data!$F$2:$F$1294,"United Kingdom",Data!$D$2:$D$1294,"2025-03",Data!$I$2:$I$1294,"Channel 2")</f>
        <v>57101</v>
      </c>
      <c r="D37" s="10">
        <f>SUMIFS(Data!$R$2:$R$1294,Data!$F$2:$F$1294,"United Kingdom",Data!$D$2:$D$1294,"2025-03",Data!$I$2:$I$1294,"Channel 3")</f>
        <v>64690</v>
      </c>
    </row>
    <row r="38" ht="15.75" customHeight="1">
      <c r="A38" s="7" t="s">
        <v>60</v>
      </c>
      <c r="B38" s="11">
        <f>SUMIFS(Data!$R$2:$R$1294,Data!$F$2:$F$1294,"United Kingdom",Data!$D$2:$D$1294,"2025-04",Data!$I$2:$I$1294,"Channel 1")</f>
        <v>244501</v>
      </c>
      <c r="C38" s="11">
        <f>SUMIFS(Data!$R$2:$R$1294,Data!$F$2:$F$1294,"United Kingdom",Data!$D$2:$D$1294,"2025-04",Data!$I$2:$I$1294,"Channel 2")</f>
        <v>59610</v>
      </c>
      <c r="D38" s="11">
        <f>SUMIFS(Data!$R$2:$R$1294,Data!$F$2:$F$1294,"United Kingdom",Data!$D$2:$D$1294,"2025-04",Data!$I$2:$I$1294,"Channel 3")</f>
        <v>62534</v>
      </c>
    </row>
    <row r="39" ht="15.75" customHeight="1">
      <c r="A39" s="4" t="s">
        <v>75</v>
      </c>
      <c r="B39" s="10">
        <f>SUMIFS(Data!$R$2:$R$1294,Data!$F$2:$F$1294,"United Kingdom",Data!$D$2:$D$1294,"2025-05",Data!$I$2:$I$1294,"Channel 1")</f>
        <v>266296</v>
      </c>
      <c r="C39" s="10">
        <f>SUMIFS(Data!$R$2:$R$1294,Data!$F$2:$F$1294,"United Kingdom",Data!$D$2:$D$1294,"2025-05",Data!$I$2:$I$1294,"Channel 2")</f>
        <v>64487</v>
      </c>
      <c r="D39" s="10">
        <f>SUMIFS(Data!$R$2:$R$1294,Data!$F$2:$F$1294,"United Kingdom",Data!$D$2:$D$1294,"2025-05",Data!$I$2:$I$1294,"Channel 3")</f>
        <v>67928</v>
      </c>
    </row>
    <row r="40" ht="15.75" customHeight="1">
      <c r="A40" s="7" t="s">
        <v>71</v>
      </c>
      <c r="B40" s="11">
        <f>SUMIFS(Data!$R$2:$R$1294,Data!$F$2:$F$1294,"United Kingdom",Data!$D$2:$D$1294,"2025-06",Data!$I$2:$I$1294,"Channel 1")</f>
        <v>236841</v>
      </c>
      <c r="C40" s="11">
        <f>SUMIFS(Data!$R$2:$R$1294,Data!$F$2:$F$1294,"United Kingdom",Data!$D$2:$D$1294,"2025-06",Data!$I$2:$I$1294,"Channel 2")</f>
        <v>86962</v>
      </c>
      <c r="D40" s="11">
        <f>SUMIFS(Data!$R$2:$R$1294,Data!$F$2:$F$1294,"United Kingdom",Data!$D$2:$D$1294,"2025-06",Data!$I$2:$I$1294,"Channel 3")</f>
        <v>71358</v>
      </c>
    </row>
    <row r="41" ht="15.75" customHeight="1">
      <c r="A41" s="4" t="s">
        <v>69</v>
      </c>
      <c r="B41" s="10">
        <f>SUMIFS(Data!$R$2:$R$1294,Data!$F$2:$F$1294,"United Kingdom",Data!$D$2:$D$1294,"2025-07",Data!$I$2:$I$1294,"Channel 1")</f>
        <v>251244</v>
      </c>
      <c r="C41" s="10">
        <f>SUMIFS(Data!$R$2:$R$1294,Data!$F$2:$F$1294,"United Kingdom",Data!$D$2:$D$1294,"2025-07",Data!$I$2:$I$1294,"Channel 2")</f>
        <v>89256</v>
      </c>
      <c r="D41" s="10">
        <f>SUMIFS(Data!$R$2:$R$1294,Data!$F$2:$F$1294,"United Kingdom",Data!$D$2:$D$1294,"2025-07",Data!$I$2:$I$1294,"Channel 3")</f>
        <v>68979</v>
      </c>
    </row>
    <row r="42" ht="15.75" customHeight="1">
      <c r="A42" s="7" t="s">
        <v>62</v>
      </c>
      <c r="B42" s="11">
        <f>SUMIFS(Data!$R$2:$R$1294,Data!$F$2:$F$1294,"United Kingdom",Data!$D$2:$D$1294,"2025-08",Data!$I$2:$I$1294,"Channel 1")</f>
        <v>207536</v>
      </c>
      <c r="C42" s="11">
        <f>SUMIFS(Data!$R$2:$R$1294,Data!$F$2:$F$1294,"United Kingdom",Data!$D$2:$D$1294,"2025-08",Data!$I$2:$I$1294,"Channel 2")</f>
        <v>72208</v>
      </c>
      <c r="D42" s="11">
        <f>SUMIFS(Data!$R$2:$R$1294,Data!$F$2:$F$1294,"United Kingdom",Data!$D$2:$D$1294,"2025-08",Data!$I$2:$I$1294,"Channel 3")</f>
        <v>73017</v>
      </c>
    </row>
    <row r="43" ht="15.75" customHeight="1">
      <c r="A43" s="4" t="s">
        <v>78</v>
      </c>
      <c r="B43" s="10">
        <f>SUMIFS(Data!$R$2:$R$1294,Data!$F$2:$F$1294,"United Kingdom",Data!$D$2:$D$1294,"2025-09",Data!$I$2:$I$1294,"Channel 1")</f>
        <v>238274</v>
      </c>
      <c r="C43" s="10">
        <f>SUMIFS(Data!$R$2:$R$1294,Data!$F$2:$F$1294,"United Kingdom",Data!$D$2:$D$1294,"2025-09",Data!$I$2:$I$1294,"Channel 2")</f>
        <v>74327</v>
      </c>
      <c r="D43" s="10">
        <f>SUMIFS(Data!$R$2:$R$1294,Data!$F$2:$F$1294,"United Kingdom",Data!$D$2:$D$1294,"2025-09",Data!$I$2:$I$1294,"Channel 3")</f>
        <v>72847</v>
      </c>
    </row>
    <row r="44" ht="15.75" customHeight="1">
      <c r="A44" s="7" t="s">
        <v>77</v>
      </c>
      <c r="B44" s="11">
        <f>SUMIFS(Data!$R$2:$R$1294,Data!$F$2:$F$1294,"United Kingdom",Data!$D$2:$D$1294,"2025-10",Data!$I$2:$I$1294,"Channel 1")</f>
        <v>240136</v>
      </c>
      <c r="C44" s="11">
        <f>SUMIFS(Data!$R$2:$R$1294,Data!$F$2:$F$1294,"United Kingdom",Data!$D$2:$D$1294,"2025-10",Data!$I$2:$I$1294,"Channel 2")</f>
        <v>63841</v>
      </c>
      <c r="D44" s="11">
        <f>SUMIFS(Data!$R$2:$R$1294,Data!$F$2:$F$1294,"United Kingdom",Data!$D$2:$D$1294,"2025-10",Data!$I$2:$I$1294,"Channel 3")</f>
        <v>79946</v>
      </c>
    </row>
    <row r="45" ht="15.75" customHeight="1">
      <c r="A45" s="4" t="s">
        <v>76</v>
      </c>
      <c r="B45" s="10">
        <f>SUMIFS(Data!$R$2:$R$1294,Data!$F$2:$F$1294,"United Kingdom",Data!$D$2:$D$1294,"2025-11",Data!$I$2:$I$1294,"Channel 1")</f>
        <v>226720</v>
      </c>
      <c r="C45" s="10">
        <f>SUMIFS(Data!$R$2:$R$1294,Data!$F$2:$F$1294,"United Kingdom",Data!$D$2:$D$1294,"2025-11",Data!$I$2:$I$1294,"Channel 2")</f>
        <v>47862</v>
      </c>
      <c r="D45" s="10">
        <f>SUMIFS(Data!$R$2:$R$1294,Data!$F$2:$F$1294,"United Kingdom",Data!$D$2:$D$1294,"2025-11",Data!$I$2:$I$1294,"Channel 3")</f>
        <v>64975</v>
      </c>
    </row>
    <row r="46" ht="15.75" customHeight="1">
      <c r="A46" s="7" t="s">
        <v>64</v>
      </c>
      <c r="B46" s="11">
        <f>SUMIFS(Data!$R$2:$R$1294,Data!$F$2:$F$1294,"United Kingdom",Data!$D$2:$D$1294,"2025-12",Data!$I$2:$I$1294,"Channel 1")</f>
        <v>140503</v>
      </c>
      <c r="C46" s="11">
        <f>SUMIFS(Data!$R$2:$R$1294,Data!$F$2:$F$1294,"United Kingdom",Data!$D$2:$D$1294,"2025-12",Data!$I$2:$I$1294,"Channel 2")</f>
        <v>26224</v>
      </c>
      <c r="D46" s="11">
        <f>SUMIFS(Data!$R$2:$R$1294,Data!$F$2:$F$1294,"United Kingdom",Data!$D$2:$D$1294,"2025-12",Data!$I$2:$I$1294,"Channel 3")</f>
        <v>41795</v>
      </c>
    </row>
    <row r="47" ht="15.75" customHeight="1"/>
    <row r="48" ht="15.75" customHeight="1"/>
    <row r="49" ht="15.75" customHeight="1">
      <c r="A49" s="27" t="s">
        <v>157</v>
      </c>
    </row>
    <row r="50" ht="15.75" customHeight="1">
      <c r="A50" s="1" t="s">
        <v>3</v>
      </c>
      <c r="B50" s="1" t="s">
        <v>158</v>
      </c>
      <c r="C50" s="1" t="s">
        <v>159</v>
      </c>
      <c r="D50" s="1" t="s">
        <v>160</v>
      </c>
      <c r="E50" s="1" t="s">
        <v>161</v>
      </c>
    </row>
    <row r="51" ht="15.75" customHeight="1">
      <c r="A51" s="4" t="s">
        <v>52</v>
      </c>
      <c r="B51" s="10">
        <f>SUMIFS(Data!$R$2:$R$1294,Data!$F$2:$F$1294,"United States",Data!$D$2:$D$1294,"2024-07",Data!$G$2:$G$1294,"Web Design")</f>
        <v>201592</v>
      </c>
      <c r="C51" s="20">
        <f>IFERROR(B51/SUMIFS(Data!$M$2:$M$1294,Data!$F$2:$F$1294,"United States",Data!$D$2:$D$1294,"2024-07",Data!$G$2:$G$1294,"Web Design"),"")</f>
        <v>56.89867344</v>
      </c>
      <c r="D51" s="10">
        <f>SUMIFS(Data!$R$2:$R$1294,Data!$F$2:$F$1294,"United States",Data!$D$2:$D$1294,"2024-07",Data!$G$2:$G$1294,"Motivational Speaking")</f>
        <v>9483</v>
      </c>
      <c r="E51" s="20">
        <f>IFERROR(D51/SUMIFS(Data!$M$2:$M$1294,Data!$F$2:$F$1294,"United States",Data!$D$2:$D$1294,"2024-07",Data!$G$2:$G$1294,"Motivational Speaking"),"")</f>
        <v>30.68932039</v>
      </c>
    </row>
    <row r="52" ht="15.75" customHeight="1">
      <c r="A52" s="7" t="s">
        <v>24</v>
      </c>
      <c r="B52" s="11">
        <f>SUMIFS(Data!$R$2:$R$1294,Data!$F$2:$F$1294,"United States",Data!$D$2:$D$1294,"2024-08",Data!$G$2:$G$1294,"Web Design")</f>
        <v>207326</v>
      </c>
      <c r="C52" s="21">
        <f>IFERROR(B52/SUMIFS(Data!$M$2:$M$1294,Data!$F$2:$F$1294,"United States",Data!$D$2:$D$1294,"2024-08",Data!$G$2:$G$1294,"Web Design"),"")</f>
        <v>52.99744376</v>
      </c>
      <c r="D52" s="11">
        <f>SUMIFS(Data!$R$2:$R$1294,Data!$F$2:$F$1294,"United States",Data!$D$2:$D$1294,"2024-08",Data!$G$2:$G$1294,"Motivational Speaking")</f>
        <v>22740</v>
      </c>
      <c r="E52" s="21">
        <f>IFERROR(D52/SUMIFS(Data!$M$2:$M$1294,Data!$F$2:$F$1294,"United States",Data!$D$2:$D$1294,"2024-08",Data!$G$2:$G$1294,"Motivational Speaking"),"")</f>
        <v>25.37946429</v>
      </c>
    </row>
    <row r="53" ht="15.75" customHeight="1">
      <c r="A53" s="4" t="s">
        <v>58</v>
      </c>
      <c r="B53" s="10">
        <f>SUMIFS(Data!$R$2:$R$1294,Data!$F$2:$F$1294,"United States",Data!$D$2:$D$1294,"2024-09",Data!$G$2:$G$1294,"Web Design")</f>
        <v>228014</v>
      </c>
      <c r="C53" s="20">
        <f>IFERROR(B53/SUMIFS(Data!$M$2:$M$1294,Data!$F$2:$F$1294,"United States",Data!$D$2:$D$1294,"2024-09",Data!$G$2:$G$1294,"Web Design"),"")</f>
        <v>59.78342947</v>
      </c>
      <c r="D53" s="10">
        <f>SUMIFS(Data!$R$2:$R$1294,Data!$F$2:$F$1294,"United States",Data!$D$2:$D$1294,"2024-09",Data!$G$2:$G$1294,"Motivational Speaking")</f>
        <v>24324</v>
      </c>
      <c r="E53" s="20">
        <f>IFERROR(D53/SUMIFS(Data!$M$2:$M$1294,Data!$F$2:$F$1294,"United States",Data!$D$2:$D$1294,"2024-09",Data!$G$2:$G$1294,"Motivational Speaking"),"")</f>
        <v>25.79427359</v>
      </c>
    </row>
    <row r="54" ht="15.75" customHeight="1">
      <c r="A54" s="7" t="s">
        <v>56</v>
      </c>
      <c r="B54" s="11">
        <f>SUMIFS(Data!$R$2:$R$1294,Data!$F$2:$F$1294,"United States",Data!$D$2:$D$1294,"2024-10",Data!$G$2:$G$1294,"Web Design")</f>
        <v>242542</v>
      </c>
      <c r="C54" s="21">
        <f>IFERROR(B54/SUMIFS(Data!$M$2:$M$1294,Data!$F$2:$F$1294,"United States",Data!$D$2:$D$1294,"2024-10",Data!$G$2:$G$1294,"Web Design"),"")</f>
        <v>57.8721069</v>
      </c>
      <c r="D54" s="11">
        <f>SUMIFS(Data!$R$2:$R$1294,Data!$F$2:$F$1294,"United States",Data!$D$2:$D$1294,"2024-10",Data!$G$2:$G$1294,"Motivational Speaking")</f>
        <v>30494</v>
      </c>
      <c r="E54" s="21">
        <f>IFERROR(D54/SUMIFS(Data!$M$2:$M$1294,Data!$F$2:$F$1294,"United States",Data!$D$2:$D$1294,"2024-10",Data!$G$2:$G$1294,"Motivational Speaking"),"")</f>
        <v>30.55511022</v>
      </c>
    </row>
    <row r="55" ht="15.75" customHeight="1">
      <c r="A55" s="4" t="s">
        <v>54</v>
      </c>
      <c r="B55" s="10">
        <f>SUMIFS(Data!$R$2:$R$1294,Data!$F$2:$F$1294,"United States",Data!$D$2:$D$1294,"2024-11",Data!$G$2:$G$1294,"Web Design")</f>
        <v>209262</v>
      </c>
      <c r="C55" s="20">
        <f>IFERROR(B55/SUMIFS(Data!$M$2:$M$1294,Data!$F$2:$F$1294,"United States",Data!$D$2:$D$1294,"2024-11",Data!$G$2:$G$1294,"Web Design"),"")</f>
        <v>55.36031746</v>
      </c>
      <c r="D55" s="10">
        <f>SUMIFS(Data!$R$2:$R$1294,Data!$F$2:$F$1294,"United States",Data!$D$2:$D$1294,"2024-11",Data!$G$2:$G$1294,"Motivational Speaking")</f>
        <v>27355</v>
      </c>
      <c r="E55" s="20">
        <f>IFERROR(D55/SUMIFS(Data!$M$2:$M$1294,Data!$F$2:$F$1294,"United States",Data!$D$2:$D$1294,"2024-11",Data!$G$2:$G$1294,"Motivational Speaking"),"")</f>
        <v>35.57217165</v>
      </c>
    </row>
    <row r="56" ht="15.75" customHeight="1">
      <c r="A56" s="7" t="s">
        <v>50</v>
      </c>
      <c r="B56" s="11">
        <f>SUMIFS(Data!$R$2:$R$1294,Data!$F$2:$F$1294,"United States",Data!$D$2:$D$1294,"2024-12",Data!$G$2:$G$1294,"Web Design")</f>
        <v>156452</v>
      </c>
      <c r="C56" s="21">
        <f>IFERROR(B56/SUMIFS(Data!$M$2:$M$1294,Data!$F$2:$F$1294,"United States",Data!$D$2:$D$1294,"2024-12",Data!$G$2:$G$1294,"Web Design"),"")</f>
        <v>47.96198651</v>
      </c>
      <c r="D56" s="11">
        <f>SUMIFS(Data!$R$2:$R$1294,Data!$F$2:$F$1294,"United States",Data!$D$2:$D$1294,"2024-12",Data!$G$2:$G$1294,"Motivational Speaking")</f>
        <v>21319</v>
      </c>
      <c r="E56" s="21">
        <f>IFERROR(D56/SUMIFS(Data!$M$2:$M$1294,Data!$F$2:$F$1294,"United States",Data!$D$2:$D$1294,"2024-12",Data!$G$2:$G$1294,"Motivational Speaking"),"")</f>
        <v>34.27491961</v>
      </c>
    </row>
    <row r="57" ht="15.75" customHeight="1">
      <c r="A57" s="4" t="s">
        <v>68</v>
      </c>
      <c r="B57" s="10">
        <f>SUMIFS(Data!$R$2:$R$1294,Data!$F$2:$F$1294,"United States",Data!$D$2:$D$1294,"2025-01",Data!$G$2:$G$1294,"Web Design")</f>
        <v>240591</v>
      </c>
      <c r="C57" s="20">
        <f>IFERROR(B57/SUMIFS(Data!$M$2:$M$1294,Data!$F$2:$F$1294,"United States",Data!$D$2:$D$1294,"2025-01",Data!$G$2:$G$1294,"Web Design"),"")</f>
        <v>51.13517535</v>
      </c>
      <c r="D57" s="10">
        <f>SUMIFS(Data!$R$2:$R$1294,Data!$F$2:$F$1294,"United States",Data!$D$2:$D$1294,"2025-01",Data!$G$2:$G$1294,"Motivational Speaking")</f>
        <v>45372</v>
      </c>
      <c r="E57" s="20">
        <f>IFERROR(D57/SUMIFS(Data!$M$2:$M$1294,Data!$F$2:$F$1294,"United States",Data!$D$2:$D$1294,"2025-01",Data!$G$2:$G$1294,"Motivational Speaking"),"")</f>
        <v>35.83886256</v>
      </c>
    </row>
    <row r="58" ht="15.75" customHeight="1">
      <c r="A58" s="7" t="s">
        <v>66</v>
      </c>
      <c r="B58" s="11">
        <f>SUMIFS(Data!$R$2:$R$1294,Data!$F$2:$F$1294,"United States",Data!$D$2:$D$1294,"2025-02",Data!$G$2:$G$1294,"Web Design")</f>
        <v>166516</v>
      </c>
      <c r="C58" s="21">
        <f>IFERROR(B58/SUMIFS(Data!$M$2:$M$1294,Data!$F$2:$F$1294,"United States",Data!$D$2:$D$1294,"2025-02",Data!$G$2:$G$1294,"Web Design"),"")</f>
        <v>49.8999101</v>
      </c>
      <c r="D58" s="11">
        <f>SUMIFS(Data!$R$2:$R$1294,Data!$F$2:$F$1294,"United States",Data!$D$2:$D$1294,"2025-02",Data!$G$2:$G$1294,"Motivational Speaking")</f>
        <v>42891</v>
      </c>
      <c r="E58" s="21">
        <f>IFERROR(D58/SUMIFS(Data!$M$2:$M$1294,Data!$F$2:$F$1294,"United States",Data!$D$2:$D$1294,"2025-02",Data!$G$2:$G$1294,"Motivational Speaking"),"")</f>
        <v>37.5907099</v>
      </c>
    </row>
    <row r="59" ht="15.75" customHeight="1">
      <c r="A59" s="4" t="s">
        <v>73</v>
      </c>
      <c r="B59" s="10">
        <f>SUMIFS(Data!$R$2:$R$1294,Data!$F$2:$F$1294,"United States",Data!$D$2:$D$1294,"2025-03",Data!$G$2:$G$1294,"Web Design")</f>
        <v>172871</v>
      </c>
      <c r="C59" s="20">
        <f>IFERROR(B59/SUMIFS(Data!$M$2:$M$1294,Data!$F$2:$F$1294,"United States",Data!$D$2:$D$1294,"2025-03",Data!$G$2:$G$1294,"Web Design"),"")</f>
        <v>52.93049602</v>
      </c>
      <c r="D59" s="10">
        <f>SUMIFS(Data!$R$2:$R$1294,Data!$F$2:$F$1294,"United States",Data!$D$2:$D$1294,"2025-03",Data!$G$2:$G$1294,"Motivational Speaking")</f>
        <v>40012</v>
      </c>
      <c r="E59" s="20">
        <f>IFERROR(D59/SUMIFS(Data!$M$2:$M$1294,Data!$F$2:$F$1294,"United States",Data!$D$2:$D$1294,"2025-03",Data!$G$2:$G$1294,"Motivational Speaking"),"")</f>
        <v>37.56995305</v>
      </c>
    </row>
    <row r="60" ht="15.75" customHeight="1">
      <c r="A60" s="7" t="s">
        <v>60</v>
      </c>
      <c r="B60" s="11">
        <f>SUMIFS(Data!$R$2:$R$1294,Data!$F$2:$F$1294,"United States",Data!$D$2:$D$1294,"2025-04",Data!$G$2:$G$1294,"Web Design")</f>
        <v>167775</v>
      </c>
      <c r="C60" s="21">
        <f>IFERROR(B60/SUMIFS(Data!$M$2:$M$1294,Data!$F$2:$F$1294,"United States",Data!$D$2:$D$1294,"2025-04",Data!$G$2:$G$1294,"Web Design"),"")</f>
        <v>53.2112274</v>
      </c>
      <c r="D60" s="11">
        <f>SUMIFS(Data!$R$2:$R$1294,Data!$F$2:$F$1294,"United States",Data!$D$2:$D$1294,"2025-04",Data!$G$2:$G$1294,"Motivational Speaking")</f>
        <v>45566</v>
      </c>
      <c r="E60" s="21">
        <f>IFERROR(D60/SUMIFS(Data!$M$2:$M$1294,Data!$F$2:$F$1294,"United States",Data!$D$2:$D$1294,"2025-04",Data!$G$2:$G$1294,"Motivational Speaking"),"")</f>
        <v>43.52053486</v>
      </c>
    </row>
    <row r="61" ht="15.75" customHeight="1">
      <c r="A61" s="4" t="s">
        <v>75</v>
      </c>
      <c r="B61" s="10">
        <f>SUMIFS(Data!$R$2:$R$1294,Data!$F$2:$F$1294,"United States",Data!$D$2:$D$1294,"2025-05",Data!$G$2:$G$1294,"Web Design")</f>
        <v>164821</v>
      </c>
      <c r="C61" s="20">
        <f>IFERROR(B61/SUMIFS(Data!$M$2:$M$1294,Data!$F$2:$F$1294,"United States",Data!$D$2:$D$1294,"2025-05",Data!$G$2:$G$1294,"Web Design"),"")</f>
        <v>54.41432816</v>
      </c>
      <c r="D61" s="10">
        <f>SUMIFS(Data!$R$2:$R$1294,Data!$F$2:$F$1294,"United States",Data!$D$2:$D$1294,"2025-05",Data!$G$2:$G$1294,"Motivational Speaking")</f>
        <v>44645</v>
      </c>
      <c r="E61" s="20">
        <f>IFERROR(D61/SUMIFS(Data!$M$2:$M$1294,Data!$F$2:$F$1294,"United States",Data!$D$2:$D$1294,"2025-05",Data!$G$2:$G$1294,"Motivational Speaking"),"")</f>
        <v>45.41709054</v>
      </c>
    </row>
    <row r="62" ht="15.75" customHeight="1">
      <c r="A62" s="7" t="s">
        <v>71</v>
      </c>
      <c r="B62" s="11">
        <f>SUMIFS(Data!$R$2:$R$1294,Data!$F$2:$F$1294,"United States",Data!$D$2:$D$1294,"2025-06",Data!$G$2:$G$1294,"Web Design")</f>
        <v>113781</v>
      </c>
      <c r="C62" s="21">
        <f>IFERROR(B62/SUMIFS(Data!$M$2:$M$1294,Data!$F$2:$F$1294,"United States",Data!$D$2:$D$1294,"2025-06",Data!$G$2:$G$1294,"Web Design"),"")</f>
        <v>52.92139535</v>
      </c>
      <c r="D62" s="11">
        <f>SUMIFS(Data!$R$2:$R$1294,Data!$F$2:$F$1294,"United States",Data!$D$2:$D$1294,"2025-06",Data!$G$2:$G$1294,"Motivational Speaking")</f>
        <v>44316</v>
      </c>
      <c r="E62" s="21">
        <f>IFERROR(D62/SUMIFS(Data!$M$2:$M$1294,Data!$F$2:$F$1294,"United States",Data!$D$2:$D$1294,"2025-06",Data!$G$2:$G$1294,"Motivational Speaking"),"")</f>
        <v>48.43278689</v>
      </c>
    </row>
    <row r="63" ht="15.75" customHeight="1">
      <c r="A63" s="4" t="s">
        <v>69</v>
      </c>
      <c r="B63" s="10">
        <f>SUMIFS(Data!$R$2:$R$1294,Data!$F$2:$F$1294,"United States",Data!$D$2:$D$1294,"2025-07",Data!$G$2:$G$1294,"Web Design")</f>
        <v>124482</v>
      </c>
      <c r="C63" s="20">
        <f>IFERROR(B63/SUMIFS(Data!$M$2:$M$1294,Data!$F$2:$F$1294,"United States",Data!$D$2:$D$1294,"2025-07",Data!$G$2:$G$1294,"Web Design"),"")</f>
        <v>63.7062436</v>
      </c>
      <c r="D63" s="10">
        <f>SUMIFS(Data!$R$2:$R$1294,Data!$F$2:$F$1294,"United States",Data!$D$2:$D$1294,"2025-07",Data!$G$2:$G$1294,"Motivational Speaking")</f>
        <v>45516</v>
      </c>
      <c r="E63" s="20">
        <f>IFERROR(D63/SUMIFS(Data!$M$2:$M$1294,Data!$F$2:$F$1294,"United States",Data!$D$2:$D$1294,"2025-07",Data!$G$2:$G$1294,"Motivational Speaking"),"")</f>
        <v>46.92371134</v>
      </c>
    </row>
    <row r="64" ht="15.75" customHeight="1">
      <c r="A64" s="7" t="s">
        <v>62</v>
      </c>
      <c r="B64" s="11">
        <f>SUMIFS(Data!$R$2:$R$1294,Data!$F$2:$F$1294,"United States",Data!$D$2:$D$1294,"2025-08",Data!$G$2:$G$1294,"Web Design")</f>
        <v>137106</v>
      </c>
      <c r="C64" s="21">
        <f>IFERROR(B64/SUMIFS(Data!$M$2:$M$1294,Data!$F$2:$F$1294,"United States",Data!$D$2:$D$1294,"2025-08",Data!$G$2:$G$1294,"Web Design"),"")</f>
        <v>64.55084746</v>
      </c>
      <c r="D64" s="11">
        <f>SUMIFS(Data!$R$2:$R$1294,Data!$F$2:$F$1294,"United States",Data!$D$2:$D$1294,"2025-08",Data!$G$2:$G$1294,"Motivational Speaking")</f>
        <v>43154</v>
      </c>
      <c r="E64" s="21">
        <f>IFERROR(D64/SUMIFS(Data!$M$2:$M$1294,Data!$F$2:$F$1294,"United States",Data!$D$2:$D$1294,"2025-08",Data!$G$2:$G$1294,"Motivational Speaking"),"")</f>
        <v>44.99895725</v>
      </c>
    </row>
    <row r="65" ht="15.75" customHeight="1">
      <c r="A65" s="4" t="s">
        <v>78</v>
      </c>
      <c r="B65" s="10">
        <f>SUMIFS(Data!$R$2:$R$1294,Data!$F$2:$F$1294,"United States",Data!$D$2:$D$1294,"2025-09",Data!$G$2:$G$1294,"Web Design")</f>
        <v>126822</v>
      </c>
      <c r="C65" s="20">
        <f>IFERROR(B65/SUMIFS(Data!$M$2:$M$1294,Data!$F$2:$F$1294,"United States",Data!$D$2:$D$1294,"2025-09",Data!$G$2:$G$1294,"Web Design"),"")</f>
        <v>50.24643423</v>
      </c>
      <c r="D65" s="10">
        <f>SUMIFS(Data!$R$2:$R$1294,Data!$F$2:$F$1294,"United States",Data!$D$2:$D$1294,"2025-09",Data!$G$2:$G$1294,"Motivational Speaking")</f>
        <v>49993</v>
      </c>
      <c r="E65" s="20">
        <f>IFERROR(D65/SUMIFS(Data!$M$2:$M$1294,Data!$F$2:$F$1294,"United States",Data!$D$2:$D$1294,"2025-09",Data!$G$2:$G$1294,"Motivational Speaking"),"")</f>
        <v>50.29476861</v>
      </c>
    </row>
    <row r="66" ht="15.75" customHeight="1">
      <c r="A66" s="7" t="s">
        <v>77</v>
      </c>
      <c r="B66" s="11">
        <f>SUMIFS(Data!$R$2:$R$1294,Data!$F$2:$F$1294,"United States",Data!$D$2:$D$1294,"2025-10",Data!$G$2:$G$1294,"Web Design")</f>
        <v>105080</v>
      </c>
      <c r="C66" s="21">
        <f>IFERROR(B66/SUMIFS(Data!$M$2:$M$1294,Data!$F$2:$F$1294,"United States",Data!$D$2:$D$1294,"2025-10",Data!$G$2:$G$1294,"Web Design"),"")</f>
        <v>46.25</v>
      </c>
      <c r="D66" s="11">
        <f>SUMIFS(Data!$R$2:$R$1294,Data!$F$2:$F$1294,"United States",Data!$D$2:$D$1294,"2025-10",Data!$G$2:$G$1294,"Motivational Speaking")</f>
        <v>55410</v>
      </c>
      <c r="E66" s="21">
        <f>IFERROR(D66/SUMIFS(Data!$M$2:$M$1294,Data!$F$2:$F$1294,"United States",Data!$D$2:$D$1294,"2025-10",Data!$G$2:$G$1294,"Motivational Speaking"),"")</f>
        <v>54.9702381</v>
      </c>
    </row>
    <row r="67" ht="15.75" customHeight="1">
      <c r="A67" s="4" t="s">
        <v>76</v>
      </c>
      <c r="B67" s="10">
        <f>SUMIFS(Data!$R$2:$R$1294,Data!$F$2:$F$1294,"United States",Data!$D$2:$D$1294,"2025-11",Data!$G$2:$G$1294,"Web Design")</f>
        <v>85045</v>
      </c>
      <c r="C67" s="20">
        <f>IFERROR(B67/SUMIFS(Data!$M$2:$M$1294,Data!$F$2:$F$1294,"United States",Data!$D$2:$D$1294,"2025-11",Data!$G$2:$G$1294,"Web Design"),"")</f>
        <v>38.83333333</v>
      </c>
      <c r="D67" s="10">
        <f>SUMIFS(Data!$R$2:$R$1294,Data!$F$2:$F$1294,"United States",Data!$D$2:$D$1294,"2025-11",Data!$G$2:$G$1294,"Motivational Speaking")</f>
        <v>53604</v>
      </c>
      <c r="E67" s="20">
        <f>IFERROR(D67/SUMIFS(Data!$M$2:$M$1294,Data!$F$2:$F$1294,"United States",Data!$D$2:$D$1294,"2025-11",Data!$G$2:$G$1294,"Motivational Speaking"),"")</f>
        <v>52.34765625</v>
      </c>
    </row>
    <row r="68" ht="15.75" customHeight="1">
      <c r="A68" s="7" t="s">
        <v>64</v>
      </c>
      <c r="B68" s="11">
        <f>SUMIFS(Data!$R$2:$R$1294,Data!$F$2:$F$1294,"United States",Data!$D$2:$D$1294,"2025-12",Data!$G$2:$G$1294,"Web Design")</f>
        <v>60760</v>
      </c>
      <c r="C68" s="21">
        <f>IFERROR(B68/SUMIFS(Data!$M$2:$M$1294,Data!$F$2:$F$1294,"United States",Data!$D$2:$D$1294,"2025-12",Data!$G$2:$G$1294,"Web Design"),"")</f>
        <v>36.27462687</v>
      </c>
      <c r="D68" s="11">
        <f>SUMIFS(Data!$R$2:$R$1294,Data!$F$2:$F$1294,"United States",Data!$D$2:$D$1294,"2025-12",Data!$G$2:$G$1294,"Motivational Speaking")</f>
        <v>41547</v>
      </c>
      <c r="E68" s="21">
        <f>IFERROR(D68/SUMIFS(Data!$M$2:$M$1294,Data!$F$2:$F$1294,"United States",Data!$D$2:$D$1294,"2025-12",Data!$G$2:$G$1294,"Motivational Speaking"),"")</f>
        <v>56.60354223</v>
      </c>
    </row>
    <row r="69" ht="15.75" customHeight="1"/>
    <row r="70" ht="15.75" customHeight="1"/>
    <row r="71" ht="15.75" customHeight="1">
      <c r="A71" s="27" t="s">
        <v>162</v>
      </c>
    </row>
    <row r="72" ht="15.75" customHeight="1">
      <c r="A72" s="1" t="s">
        <v>147</v>
      </c>
      <c r="B72" s="1" t="s">
        <v>101</v>
      </c>
      <c r="C72" s="1" t="s">
        <v>85</v>
      </c>
      <c r="D72" s="1" t="s">
        <v>105</v>
      </c>
      <c r="E72" s="1" t="s">
        <v>106</v>
      </c>
      <c r="F72" s="1" t="s">
        <v>107</v>
      </c>
      <c r="G72" s="1" t="s">
        <v>88</v>
      </c>
    </row>
    <row r="73" ht="15.75" customHeight="1">
      <c r="A73" s="4" t="s">
        <v>25</v>
      </c>
      <c r="B73" s="5">
        <f>SUMIFS(Data!$J$2:$J$1294,Data!$F$2:$F$1294,"United Kingdom",Data!$E$2:$E$1294,"H2 2024")</f>
        <v>985316</v>
      </c>
      <c r="C73" s="5">
        <f>SUMIFS(Data!$L$2:$L$1294,Data!$F$2:$F$1294,"United Kingdom",Data!$E$2:$E$1294,"H2 2024")</f>
        <v>288594</v>
      </c>
      <c r="D73" s="10">
        <f>SUMIFS(Data!$R$2:$R$1294,Data!$F$2:$F$1294,"United Kingdom",Data!$E$2:$E$1294,"H2 2024")</f>
        <v>2495309</v>
      </c>
      <c r="E73" s="10">
        <f>SUMIFS(Data!$S$2:$S$1294,Data!$F$2:$F$1294,"United Kingdom",Data!$E$2:$E$1294,"H2 2024")</f>
        <v>1309474</v>
      </c>
      <c r="F73" s="10">
        <f>SUMIFS(Data!$T$2:$T$1294,Data!$F$2:$F$1294,"United Kingdom",Data!$E$2:$E$1294,"H2 2024")</f>
        <v>1185841</v>
      </c>
      <c r="G73" s="10">
        <f>SUMIFS(Data!$P$2:$P$1294,Data!$F$2:$F$1294,"United Kingdom",Data!$E$2:$E$1294,"H2 2024")</f>
        <v>177828</v>
      </c>
    </row>
    <row r="74" ht="15.75" customHeight="1">
      <c r="A74" s="4" t="s">
        <v>63</v>
      </c>
      <c r="B74" s="5">
        <f>SUMIFS(Data!$J$2:$J$1294,Data!$F$2:$F$1294,"United Kingdom",Data!$E$2:$E$1294,"H2 2025")</f>
        <v>1077620</v>
      </c>
      <c r="C74" s="5">
        <f>SUMIFS(Data!$L$2:$L$1294,Data!$F$2:$F$1294,"United Kingdom",Data!$E$2:$E$1294,"H2 2025")</f>
        <v>262986</v>
      </c>
      <c r="D74" s="10">
        <f>SUMIFS(Data!$R$2:$R$1294,Data!$F$2:$F$1294,"United Kingdom",Data!$E$2:$E$1294,"H2 2025")</f>
        <v>2079690</v>
      </c>
      <c r="E74" s="10">
        <f>SUMIFS(Data!$S$2:$S$1294,Data!$F$2:$F$1294,"United Kingdom",Data!$E$2:$E$1294,"H2 2025")</f>
        <v>1128090</v>
      </c>
      <c r="F74" s="10">
        <f>SUMIFS(Data!$T$2:$T$1294,Data!$F$2:$F$1294,"United Kingdom",Data!$E$2:$E$1294,"H2 2025")</f>
        <v>951618</v>
      </c>
      <c r="G74" s="10">
        <f>SUMIFS(Data!$P$2:$P$1294,Data!$F$2:$F$1294,"United Kingdom",Data!$E$2:$E$1294,"H2 2025")</f>
        <v>139701</v>
      </c>
    </row>
    <row r="75" ht="15.75" customHeight="1"/>
    <row r="76" ht="15.75" customHeight="1">
      <c r="A76" s="27" t="s">
        <v>163</v>
      </c>
    </row>
    <row r="77" ht="15.75" customHeight="1">
      <c r="A77" s="1" t="s">
        <v>147</v>
      </c>
      <c r="B77" s="1" t="s">
        <v>101</v>
      </c>
      <c r="C77" s="1" t="s">
        <v>85</v>
      </c>
      <c r="D77" s="1" t="s">
        <v>105</v>
      </c>
      <c r="E77" s="1" t="s">
        <v>106</v>
      </c>
      <c r="F77" s="1" t="s">
        <v>107</v>
      </c>
      <c r="G77" s="1" t="s">
        <v>88</v>
      </c>
    </row>
    <row r="78" ht="15.75" customHeight="1">
      <c r="A78" s="31" t="s">
        <v>25</v>
      </c>
      <c r="B78" s="33">
        <v>100.0</v>
      </c>
      <c r="C78" s="33">
        <v>100.0</v>
      </c>
      <c r="D78" s="33">
        <v>100.0</v>
      </c>
      <c r="E78" s="33">
        <v>100.0</v>
      </c>
      <c r="F78" s="33">
        <v>100.0</v>
      </c>
      <c r="G78" s="33">
        <v>100.0</v>
      </c>
    </row>
    <row r="79" ht="15.75" customHeight="1">
      <c r="A79" s="31" t="s">
        <v>63</v>
      </c>
      <c r="B79" s="33">
        <f t="shared" ref="B79:G79" si="1">IF(B73=0,0,B74/B73*100)</f>
        <v>109.3679591</v>
      </c>
      <c r="C79" s="33">
        <f t="shared" si="1"/>
        <v>91.12663465</v>
      </c>
      <c r="D79" s="33">
        <f t="shared" si="1"/>
        <v>83.34398666</v>
      </c>
      <c r="E79" s="33">
        <f t="shared" si="1"/>
        <v>86.14833131</v>
      </c>
      <c r="F79" s="33">
        <f t="shared" si="1"/>
        <v>80.24836382</v>
      </c>
      <c r="G79" s="33">
        <f t="shared" si="1"/>
        <v>78.55961941</v>
      </c>
    </row>
    <row r="80" ht="15.75" customHeight="1"/>
    <row r="81" ht="15.75" customHeight="1"/>
    <row r="82" ht="15.75" customHeight="1">
      <c r="A82" s="27" t="s">
        <v>164</v>
      </c>
    </row>
    <row r="83" ht="15.75" customHeight="1">
      <c r="A83" s="1" t="s">
        <v>3</v>
      </c>
      <c r="B83" s="1" t="s">
        <v>165</v>
      </c>
      <c r="C83" s="1" t="s">
        <v>166</v>
      </c>
      <c r="D83" s="1" t="s">
        <v>167</v>
      </c>
      <c r="E83" s="1" t="s">
        <v>168</v>
      </c>
      <c r="F83" s="1" t="s">
        <v>169</v>
      </c>
      <c r="G83" s="1" t="s">
        <v>170</v>
      </c>
    </row>
    <row r="84" ht="15.75" customHeight="1">
      <c r="A84" s="4" t="s">
        <v>52</v>
      </c>
      <c r="B84" s="13">
        <f>IFERROR(SUMIFS(Data!$L$2:$L$1294,Data!$F$2:$F$1294,"United Kingdom",Data!$D$2:$D$1294,"2024-07",Data!$I$2:$I$1294,"Channel 1")/SUMIFS(Data!$J$2:$J$1294,Data!$F$2:$F$1294,"United Kingdom",Data!$D$2:$D$1294,"2024-07",Data!$I$2:$I$1294,"Channel 1"),"")</f>
        <v>0.3012459562</v>
      </c>
      <c r="C84" s="13">
        <f>IFERROR(SUMIFS(Data!$L$2:$L$1294,Data!$F$2:$F$1294,"United Kingdom",Data!$D$2:$D$1294,"2024-07",Data!$I$2:$I$1294,"Channel 2")/SUMIFS(Data!$J$2:$J$1294,Data!$F$2:$F$1294,"United Kingdom",Data!$D$2:$D$1294,"2024-07",Data!$I$2:$I$1294,"Channel 2"),"")</f>
        <v>0.2279797847</v>
      </c>
      <c r="D84" s="13">
        <f>IFERROR(SUMIFS(Data!$L$2:$L$1294,Data!$F$2:$F$1294,"United Kingdom",Data!$D$2:$D$1294,"2024-07",Data!$I$2:$I$1294,"Channel 3")/SUMIFS(Data!$J$2:$J$1294,Data!$F$2:$F$1294,"United Kingdom",Data!$D$2:$D$1294,"2024-07",Data!$I$2:$I$1294,"Channel 3"),"")</f>
        <v>0.462615917</v>
      </c>
      <c r="E84" s="5">
        <f>SUMIFS(Data!$J$2:$J$1294,Data!$F$2:$F$1294,"United Kingdom",Data!$D$2:$D$1294,"2024-07",Data!$I$2:$I$1294,"Channel 1")</f>
        <v>139411</v>
      </c>
      <c r="F84" s="5">
        <f>SUMIFS(Data!$J$2:$J$1294,Data!$F$2:$F$1294,"United Kingdom",Data!$D$2:$D$1294,"2024-07",Data!$I$2:$I$1294,"Channel 2")</f>
        <v>30472</v>
      </c>
      <c r="G84" s="5">
        <f>SUMIFS(Data!$J$2:$J$1294,Data!$F$2:$F$1294,"United Kingdom",Data!$D$2:$D$1294,"2024-07",Data!$I$2:$I$1294,"Channel 3")</f>
        <v>36125</v>
      </c>
    </row>
    <row r="85" ht="15.75" customHeight="1">
      <c r="A85" s="7" t="s">
        <v>24</v>
      </c>
      <c r="B85" s="16">
        <f>IFERROR(SUMIFS(Data!$L$2:$L$1294,Data!$F$2:$F$1294,"United Kingdom",Data!$D$2:$D$1294,"2024-08",Data!$I$2:$I$1294,"Channel 1")/SUMIFS(Data!$J$2:$J$1294,Data!$F$2:$F$1294,"United Kingdom",Data!$D$2:$D$1294,"2024-08",Data!$I$2:$I$1294,"Channel 1"),"")</f>
        <v>0.2895905428</v>
      </c>
      <c r="C85" s="16">
        <f>IFERROR(SUMIFS(Data!$L$2:$L$1294,Data!$F$2:$F$1294,"United Kingdom",Data!$D$2:$D$1294,"2024-08",Data!$I$2:$I$1294,"Channel 2")/SUMIFS(Data!$J$2:$J$1294,Data!$F$2:$F$1294,"United Kingdom",Data!$D$2:$D$1294,"2024-08",Data!$I$2:$I$1294,"Channel 2"),"")</f>
        <v>0.2195801274</v>
      </c>
      <c r="D85" s="16">
        <f>IFERROR(SUMIFS(Data!$L$2:$L$1294,Data!$F$2:$F$1294,"United Kingdom",Data!$D$2:$D$1294,"2024-08",Data!$I$2:$I$1294,"Channel 3")/SUMIFS(Data!$J$2:$J$1294,Data!$F$2:$F$1294,"United Kingdom",Data!$D$2:$D$1294,"2024-08",Data!$I$2:$I$1294,"Channel 3"),"")</f>
        <v>0.4176714766</v>
      </c>
      <c r="E85" s="8">
        <f>SUMIFS(Data!$J$2:$J$1294,Data!$F$2:$F$1294,"United Kingdom",Data!$D$2:$D$1294,"2024-08",Data!$I$2:$I$1294,"Channel 1")</f>
        <v>132639</v>
      </c>
      <c r="F85" s="8">
        <f>SUMIFS(Data!$J$2:$J$1294,Data!$F$2:$F$1294,"United Kingdom",Data!$D$2:$D$1294,"2024-08",Data!$I$2:$I$1294,"Channel 2")</f>
        <v>28723</v>
      </c>
      <c r="G85" s="8">
        <f>SUMIFS(Data!$J$2:$J$1294,Data!$F$2:$F$1294,"United Kingdom",Data!$D$2:$D$1294,"2024-08",Data!$I$2:$I$1294,"Channel 3")</f>
        <v>30354</v>
      </c>
    </row>
    <row r="86" ht="15.75" customHeight="1">
      <c r="A86" s="4" t="s">
        <v>58</v>
      </c>
      <c r="B86" s="13">
        <f>IFERROR(SUMIFS(Data!$L$2:$L$1294,Data!$F$2:$F$1294,"United Kingdom",Data!$D$2:$D$1294,"2024-09",Data!$I$2:$I$1294,"Channel 1")/SUMIFS(Data!$J$2:$J$1294,Data!$F$2:$F$1294,"United Kingdom",Data!$D$2:$D$1294,"2024-09",Data!$I$2:$I$1294,"Channel 1"),"")</f>
        <v>0.2889143527</v>
      </c>
      <c r="C86" s="13">
        <f>IFERROR(SUMIFS(Data!$L$2:$L$1294,Data!$F$2:$F$1294,"United Kingdom",Data!$D$2:$D$1294,"2024-09",Data!$I$2:$I$1294,"Channel 2")/SUMIFS(Data!$J$2:$J$1294,Data!$F$2:$F$1294,"United Kingdom",Data!$D$2:$D$1294,"2024-09",Data!$I$2:$I$1294,"Channel 2"),"")</f>
        <v>0.2105365917</v>
      </c>
      <c r="D86" s="13">
        <f>IFERROR(SUMIFS(Data!$L$2:$L$1294,Data!$F$2:$F$1294,"United Kingdom",Data!$D$2:$D$1294,"2024-09",Data!$I$2:$I$1294,"Channel 3")/SUMIFS(Data!$J$2:$J$1294,Data!$F$2:$F$1294,"United Kingdom",Data!$D$2:$D$1294,"2024-09",Data!$I$2:$I$1294,"Channel 3"),"")</f>
        <v>0.3870518267</v>
      </c>
      <c r="E86" s="5">
        <f>SUMIFS(Data!$J$2:$J$1294,Data!$F$2:$F$1294,"United Kingdom",Data!$D$2:$D$1294,"2024-09",Data!$I$2:$I$1294,"Channel 1")</f>
        <v>116069</v>
      </c>
      <c r="F86" s="5">
        <f>SUMIFS(Data!$J$2:$J$1294,Data!$F$2:$F$1294,"United Kingdom",Data!$D$2:$D$1294,"2024-09",Data!$I$2:$I$1294,"Channel 2")</f>
        <v>30731</v>
      </c>
      <c r="G86" s="5">
        <f>SUMIFS(Data!$J$2:$J$1294,Data!$F$2:$F$1294,"United Kingdom",Data!$D$2:$D$1294,"2024-09",Data!$I$2:$I$1294,"Channel 3")</f>
        <v>29425</v>
      </c>
    </row>
    <row r="87" ht="15.75" customHeight="1">
      <c r="A87" s="7" t="s">
        <v>56</v>
      </c>
      <c r="B87" s="16">
        <f>IFERROR(SUMIFS(Data!$L$2:$L$1294,Data!$F$2:$F$1294,"United Kingdom",Data!$D$2:$D$1294,"2024-10",Data!$I$2:$I$1294,"Channel 1")/SUMIFS(Data!$J$2:$J$1294,Data!$F$2:$F$1294,"United Kingdom",Data!$D$2:$D$1294,"2024-10",Data!$I$2:$I$1294,"Channel 1"),"")</f>
        <v>0.2733353031</v>
      </c>
      <c r="C87" s="16">
        <f>IFERROR(SUMIFS(Data!$L$2:$L$1294,Data!$F$2:$F$1294,"United Kingdom",Data!$D$2:$D$1294,"2024-10",Data!$I$2:$I$1294,"Channel 2")/SUMIFS(Data!$J$2:$J$1294,Data!$F$2:$F$1294,"United Kingdom",Data!$D$2:$D$1294,"2024-10",Data!$I$2:$I$1294,"Channel 2"),"")</f>
        <v>0.2049977313</v>
      </c>
      <c r="D87" s="16">
        <f>IFERROR(SUMIFS(Data!$L$2:$L$1294,Data!$F$2:$F$1294,"United Kingdom",Data!$D$2:$D$1294,"2024-10",Data!$I$2:$I$1294,"Channel 3")/SUMIFS(Data!$J$2:$J$1294,Data!$F$2:$F$1294,"United Kingdom",Data!$D$2:$D$1294,"2024-10",Data!$I$2:$I$1294,"Channel 3"),"")</f>
        <v>0.3707785403</v>
      </c>
      <c r="E87" s="8">
        <f>SUMIFS(Data!$J$2:$J$1294,Data!$F$2:$F$1294,"United Kingdom",Data!$D$2:$D$1294,"2024-10",Data!$I$2:$I$1294,"Channel 1")</f>
        <v>111687</v>
      </c>
      <c r="F87" s="8">
        <f>SUMIFS(Data!$J$2:$J$1294,Data!$F$2:$F$1294,"United Kingdom",Data!$D$2:$D$1294,"2024-10",Data!$I$2:$I$1294,"Channel 2")</f>
        <v>30854</v>
      </c>
      <c r="G87" s="8">
        <f>SUMIFS(Data!$J$2:$J$1294,Data!$F$2:$F$1294,"United Kingdom",Data!$D$2:$D$1294,"2024-10",Data!$I$2:$I$1294,"Channel 3")</f>
        <v>29581</v>
      </c>
    </row>
    <row r="88" ht="15.75" customHeight="1">
      <c r="A88" s="4" t="s">
        <v>54</v>
      </c>
      <c r="B88" s="13">
        <f>IFERROR(SUMIFS(Data!$L$2:$L$1294,Data!$F$2:$F$1294,"United Kingdom",Data!$D$2:$D$1294,"2024-11",Data!$I$2:$I$1294,"Channel 1")/SUMIFS(Data!$J$2:$J$1294,Data!$F$2:$F$1294,"United Kingdom",Data!$D$2:$D$1294,"2024-11",Data!$I$2:$I$1294,"Channel 1"),"")</f>
        <v>0.2806670532</v>
      </c>
      <c r="C88" s="13">
        <f>IFERROR(SUMIFS(Data!$L$2:$L$1294,Data!$F$2:$F$1294,"United Kingdom",Data!$D$2:$D$1294,"2024-11",Data!$I$2:$I$1294,"Channel 2")/SUMIFS(Data!$J$2:$J$1294,Data!$F$2:$F$1294,"United Kingdom",Data!$D$2:$D$1294,"2024-11",Data!$I$2:$I$1294,"Channel 2"),"")</f>
        <v>0.1867407021</v>
      </c>
      <c r="D88" s="13">
        <f>IFERROR(SUMIFS(Data!$L$2:$L$1294,Data!$F$2:$F$1294,"United Kingdom",Data!$D$2:$D$1294,"2024-11",Data!$I$2:$I$1294,"Channel 3")/SUMIFS(Data!$J$2:$J$1294,Data!$F$2:$F$1294,"United Kingdom",Data!$D$2:$D$1294,"2024-11",Data!$I$2:$I$1294,"Channel 3"),"")</f>
        <v>0.3508079908</v>
      </c>
      <c r="E88" s="5">
        <f>SUMIFS(Data!$J$2:$J$1294,Data!$F$2:$F$1294,"United Kingdom",Data!$D$2:$D$1294,"2024-11",Data!$I$2:$I$1294,"Channel 1")</f>
        <v>87969</v>
      </c>
      <c r="F88" s="5">
        <f>SUMIFS(Data!$J$2:$J$1294,Data!$F$2:$F$1294,"United Kingdom",Data!$D$2:$D$1294,"2024-11",Data!$I$2:$I$1294,"Channel 2")</f>
        <v>26834</v>
      </c>
      <c r="G88" s="5">
        <f>SUMIFS(Data!$J$2:$J$1294,Data!$F$2:$F$1294,"United Kingdom",Data!$D$2:$D$1294,"2024-11",Data!$I$2:$I$1294,"Channel 3")</f>
        <v>23577</v>
      </c>
    </row>
    <row r="89" ht="15.75" customHeight="1">
      <c r="A89" s="7" t="s">
        <v>50</v>
      </c>
      <c r="B89" s="16">
        <f>IFERROR(SUMIFS(Data!$L$2:$L$1294,Data!$F$2:$F$1294,"United Kingdom",Data!$D$2:$D$1294,"2024-12",Data!$I$2:$I$1294,"Channel 1")/SUMIFS(Data!$J$2:$J$1294,Data!$F$2:$F$1294,"United Kingdom",Data!$D$2:$D$1294,"2024-12",Data!$I$2:$I$1294,"Channel 1"),"")</f>
        <v>0.2842806299</v>
      </c>
      <c r="C89" s="16">
        <f>IFERROR(SUMIFS(Data!$L$2:$L$1294,Data!$F$2:$F$1294,"United Kingdom",Data!$D$2:$D$1294,"2024-12",Data!$I$2:$I$1294,"Channel 2")/SUMIFS(Data!$J$2:$J$1294,Data!$F$2:$F$1294,"United Kingdom",Data!$D$2:$D$1294,"2024-12",Data!$I$2:$I$1294,"Channel 2"),"")</f>
        <v>0.2061226713</v>
      </c>
      <c r="D89" s="16">
        <f>IFERROR(SUMIFS(Data!$L$2:$L$1294,Data!$F$2:$F$1294,"United Kingdom",Data!$D$2:$D$1294,"2024-12",Data!$I$2:$I$1294,"Channel 3")/SUMIFS(Data!$J$2:$J$1294,Data!$F$2:$F$1294,"United Kingdom",Data!$D$2:$D$1294,"2024-12",Data!$I$2:$I$1294,"Channel 3"),"")</f>
        <v>0.3498239437</v>
      </c>
      <c r="E89" s="8">
        <f>SUMIFS(Data!$J$2:$J$1294,Data!$F$2:$F$1294,"United Kingdom",Data!$D$2:$D$1294,"2024-12",Data!$I$2:$I$1294,"Channel 1")</f>
        <v>65467</v>
      </c>
      <c r="F89" s="8">
        <f>SUMIFS(Data!$J$2:$J$1294,Data!$F$2:$F$1294,"United Kingdom",Data!$D$2:$D$1294,"2024-12",Data!$I$2:$I$1294,"Channel 2")</f>
        <v>18358</v>
      </c>
      <c r="G89" s="8">
        <f>SUMIFS(Data!$J$2:$J$1294,Data!$F$2:$F$1294,"United Kingdom",Data!$D$2:$D$1294,"2024-12",Data!$I$2:$I$1294,"Channel 3")</f>
        <v>17040</v>
      </c>
    </row>
    <row r="90" ht="15.75" customHeight="1">
      <c r="A90" s="4" t="s">
        <v>68</v>
      </c>
      <c r="B90" s="13">
        <f>IFERROR(SUMIFS(Data!$L$2:$L$1294,Data!$F$2:$F$1294,"United Kingdom",Data!$D$2:$D$1294,"2025-01",Data!$I$2:$I$1294,"Channel 1")/SUMIFS(Data!$J$2:$J$1294,Data!$F$2:$F$1294,"United Kingdom",Data!$D$2:$D$1294,"2025-01",Data!$I$2:$I$1294,"Channel 1"),"")</f>
        <v>0.2633396016</v>
      </c>
      <c r="C90" s="13">
        <f>IFERROR(SUMIFS(Data!$L$2:$L$1294,Data!$F$2:$F$1294,"United Kingdom",Data!$D$2:$D$1294,"2025-01",Data!$I$2:$I$1294,"Channel 2")/SUMIFS(Data!$J$2:$J$1294,Data!$F$2:$F$1294,"United Kingdom",Data!$D$2:$D$1294,"2025-01",Data!$I$2:$I$1294,"Channel 2"),"")</f>
        <v>0.2045250609</v>
      </c>
      <c r="D90" s="13">
        <f>IFERROR(SUMIFS(Data!$L$2:$L$1294,Data!$F$2:$F$1294,"United Kingdom",Data!$D$2:$D$1294,"2025-01",Data!$I$2:$I$1294,"Channel 3")/SUMIFS(Data!$J$2:$J$1294,Data!$F$2:$F$1294,"United Kingdom",Data!$D$2:$D$1294,"2025-01",Data!$I$2:$I$1294,"Channel 3"),"")</f>
        <v>0.3467990276</v>
      </c>
      <c r="E90" s="5">
        <f>SUMIFS(Data!$J$2:$J$1294,Data!$F$2:$F$1294,"United Kingdom",Data!$D$2:$D$1294,"2025-01",Data!$I$2:$I$1294,"Channel 1")</f>
        <v>136136</v>
      </c>
      <c r="F90" s="5">
        <f>SUMIFS(Data!$J$2:$J$1294,Data!$F$2:$F$1294,"United Kingdom",Data!$D$2:$D$1294,"2025-01",Data!$I$2:$I$1294,"Channel 2")</f>
        <v>31204</v>
      </c>
      <c r="G90" s="5">
        <f>SUMIFS(Data!$J$2:$J$1294,Data!$F$2:$F$1294,"United Kingdom",Data!$D$2:$D$1294,"2025-01",Data!$I$2:$I$1294,"Channel 3")</f>
        <v>24680</v>
      </c>
    </row>
    <row r="91" ht="15.75" customHeight="1">
      <c r="A91" s="7" t="s">
        <v>66</v>
      </c>
      <c r="B91" s="16">
        <f>IFERROR(SUMIFS(Data!$L$2:$L$1294,Data!$F$2:$F$1294,"United Kingdom",Data!$D$2:$D$1294,"2025-02",Data!$I$2:$I$1294,"Channel 1")/SUMIFS(Data!$J$2:$J$1294,Data!$F$2:$F$1294,"United Kingdom",Data!$D$2:$D$1294,"2025-02",Data!$I$2:$I$1294,"Channel 1"),"")</f>
        <v>0.2691196649</v>
      </c>
      <c r="C91" s="16">
        <f>IFERROR(SUMIFS(Data!$L$2:$L$1294,Data!$F$2:$F$1294,"United Kingdom",Data!$D$2:$D$1294,"2025-02",Data!$I$2:$I$1294,"Channel 2")/SUMIFS(Data!$J$2:$J$1294,Data!$F$2:$F$1294,"United Kingdom",Data!$D$2:$D$1294,"2025-02",Data!$I$2:$I$1294,"Channel 2"),"")</f>
        <v>0.210174216</v>
      </c>
      <c r="D91" s="16">
        <f>IFERROR(SUMIFS(Data!$L$2:$L$1294,Data!$F$2:$F$1294,"United Kingdom",Data!$D$2:$D$1294,"2025-02",Data!$I$2:$I$1294,"Channel 3")/SUMIFS(Data!$J$2:$J$1294,Data!$F$2:$F$1294,"United Kingdom",Data!$D$2:$D$1294,"2025-02",Data!$I$2:$I$1294,"Channel 3"),"")</f>
        <v>0.3845465839</v>
      </c>
      <c r="E91" s="8">
        <f>SUMIFS(Data!$J$2:$J$1294,Data!$F$2:$F$1294,"United Kingdom",Data!$D$2:$D$1294,"2025-02",Data!$I$2:$I$1294,"Channel 1")</f>
        <v>83082</v>
      </c>
      <c r="F91" s="8">
        <f>SUMIFS(Data!$J$2:$J$1294,Data!$F$2:$F$1294,"United Kingdom",Data!$D$2:$D$1294,"2025-02",Data!$I$2:$I$1294,"Channel 2")</f>
        <v>28700</v>
      </c>
      <c r="G91" s="8">
        <f>SUMIFS(Data!$J$2:$J$1294,Data!$F$2:$F$1294,"United Kingdom",Data!$D$2:$D$1294,"2025-02",Data!$I$2:$I$1294,"Channel 3")</f>
        <v>20125</v>
      </c>
    </row>
    <row r="92" ht="15.75" customHeight="1">
      <c r="A92" s="4" t="s">
        <v>73</v>
      </c>
      <c r="B92" s="13">
        <f>IFERROR(SUMIFS(Data!$L$2:$L$1294,Data!$F$2:$F$1294,"United Kingdom",Data!$D$2:$D$1294,"2025-03",Data!$I$2:$I$1294,"Channel 1")/SUMIFS(Data!$J$2:$J$1294,Data!$F$2:$F$1294,"United Kingdom",Data!$D$2:$D$1294,"2025-03",Data!$I$2:$I$1294,"Channel 1"),"")</f>
        <v>0.2846575266</v>
      </c>
      <c r="C92" s="13">
        <f>IFERROR(SUMIFS(Data!$L$2:$L$1294,Data!$F$2:$F$1294,"United Kingdom",Data!$D$2:$D$1294,"2025-03",Data!$I$2:$I$1294,"Channel 2")/SUMIFS(Data!$J$2:$J$1294,Data!$F$2:$F$1294,"United Kingdom",Data!$D$2:$D$1294,"2025-03",Data!$I$2:$I$1294,"Channel 2"),"")</f>
        <v>0.2090652499</v>
      </c>
      <c r="D92" s="13">
        <f>IFERROR(SUMIFS(Data!$L$2:$L$1294,Data!$F$2:$F$1294,"United Kingdom",Data!$D$2:$D$1294,"2025-03",Data!$I$2:$I$1294,"Channel 3")/SUMIFS(Data!$J$2:$J$1294,Data!$F$2:$F$1294,"United Kingdom",Data!$D$2:$D$1294,"2025-03",Data!$I$2:$I$1294,"Channel 3"),"")</f>
        <v>0.4066310243</v>
      </c>
      <c r="E92" s="5">
        <f>SUMIFS(Data!$J$2:$J$1294,Data!$F$2:$F$1294,"United Kingdom",Data!$D$2:$D$1294,"2025-03",Data!$I$2:$I$1294,"Channel 1")</f>
        <v>107877</v>
      </c>
      <c r="F92" s="5">
        <f>SUMIFS(Data!$J$2:$J$1294,Data!$F$2:$F$1294,"United Kingdom",Data!$D$2:$D$1294,"2025-03",Data!$I$2:$I$1294,"Channel 2")</f>
        <v>30115</v>
      </c>
      <c r="G92" s="5">
        <f>SUMIFS(Data!$J$2:$J$1294,Data!$F$2:$F$1294,"United Kingdom",Data!$D$2:$D$1294,"2025-03",Data!$I$2:$I$1294,"Channel 3")</f>
        <v>25999</v>
      </c>
    </row>
    <row r="93" ht="15.75" customHeight="1">
      <c r="A93" s="7" t="s">
        <v>60</v>
      </c>
      <c r="B93" s="16">
        <f>IFERROR(SUMIFS(Data!$L$2:$L$1294,Data!$F$2:$F$1294,"United Kingdom",Data!$D$2:$D$1294,"2025-04",Data!$I$2:$I$1294,"Channel 1")/SUMIFS(Data!$J$2:$J$1294,Data!$F$2:$F$1294,"United Kingdom",Data!$D$2:$D$1294,"2025-04",Data!$I$2:$I$1294,"Channel 1"),"")</f>
        <v>0.2913555546</v>
      </c>
      <c r="C93" s="16">
        <f>IFERROR(SUMIFS(Data!$L$2:$L$1294,Data!$F$2:$F$1294,"United Kingdom",Data!$D$2:$D$1294,"2025-04",Data!$I$2:$I$1294,"Channel 2")/SUMIFS(Data!$J$2:$J$1294,Data!$F$2:$F$1294,"United Kingdom",Data!$D$2:$D$1294,"2025-04",Data!$I$2:$I$1294,"Channel 2"),"")</f>
        <v>0.2161512635</v>
      </c>
      <c r="D93" s="16">
        <f>IFERROR(SUMIFS(Data!$L$2:$L$1294,Data!$F$2:$F$1294,"United Kingdom",Data!$D$2:$D$1294,"2025-04",Data!$I$2:$I$1294,"Channel 3")/SUMIFS(Data!$J$2:$J$1294,Data!$F$2:$F$1294,"United Kingdom",Data!$D$2:$D$1294,"2025-04",Data!$I$2:$I$1294,"Channel 3"),"")</f>
        <v>0.3932965955</v>
      </c>
      <c r="E93" s="8">
        <f>SUMIFS(Data!$J$2:$J$1294,Data!$F$2:$F$1294,"United Kingdom",Data!$D$2:$D$1294,"2025-04",Data!$I$2:$I$1294,"Channel 1")</f>
        <v>96964</v>
      </c>
      <c r="F93" s="8">
        <f>SUMIFS(Data!$J$2:$J$1294,Data!$F$2:$F$1294,"United Kingdom",Data!$D$2:$D$1294,"2025-04",Data!$I$2:$I$1294,"Channel 2")</f>
        <v>28295</v>
      </c>
      <c r="G93" s="8">
        <f>SUMIFS(Data!$J$2:$J$1294,Data!$F$2:$F$1294,"United Kingdom",Data!$D$2:$D$1294,"2025-04",Data!$I$2:$I$1294,"Channel 3")</f>
        <v>26494</v>
      </c>
    </row>
    <row r="94" ht="15.75" customHeight="1">
      <c r="A94" s="4" t="s">
        <v>75</v>
      </c>
      <c r="B94" s="13">
        <f>IFERROR(SUMIFS(Data!$L$2:$L$1294,Data!$F$2:$F$1294,"United Kingdom",Data!$D$2:$D$1294,"2025-05",Data!$I$2:$I$1294,"Channel 1")/SUMIFS(Data!$J$2:$J$1294,Data!$F$2:$F$1294,"United Kingdom",Data!$D$2:$D$1294,"2025-05",Data!$I$2:$I$1294,"Channel 1"),"")</f>
        <v>0.2845304354</v>
      </c>
      <c r="C94" s="13">
        <f>IFERROR(SUMIFS(Data!$L$2:$L$1294,Data!$F$2:$F$1294,"United Kingdom",Data!$D$2:$D$1294,"2025-05",Data!$I$2:$I$1294,"Channel 2")/SUMIFS(Data!$J$2:$J$1294,Data!$F$2:$F$1294,"United Kingdom",Data!$D$2:$D$1294,"2025-05",Data!$I$2:$I$1294,"Channel 2"),"")</f>
        <v>0.2159570662</v>
      </c>
      <c r="D94" s="13">
        <f>IFERROR(SUMIFS(Data!$L$2:$L$1294,Data!$F$2:$F$1294,"United Kingdom",Data!$D$2:$D$1294,"2025-05",Data!$I$2:$I$1294,"Channel 3")/SUMIFS(Data!$J$2:$J$1294,Data!$F$2:$F$1294,"United Kingdom",Data!$D$2:$D$1294,"2025-05",Data!$I$2:$I$1294,"Channel 3"),"")</f>
        <v>0.3942658325</v>
      </c>
      <c r="E94" s="5">
        <f>SUMIFS(Data!$J$2:$J$1294,Data!$F$2:$F$1294,"United Kingdom",Data!$D$2:$D$1294,"2025-05",Data!$I$2:$I$1294,"Channel 1")</f>
        <v>113552</v>
      </c>
      <c r="F94" s="5">
        <f>SUMIFS(Data!$J$2:$J$1294,Data!$F$2:$F$1294,"United Kingdom",Data!$D$2:$D$1294,"2025-05",Data!$I$2:$I$1294,"Channel 2")</f>
        <v>41925</v>
      </c>
      <c r="G94" s="5">
        <f>SUMIFS(Data!$J$2:$J$1294,Data!$F$2:$F$1294,"United Kingdom",Data!$D$2:$D$1294,"2025-05",Data!$I$2:$I$1294,"Channel 3")</f>
        <v>29891</v>
      </c>
    </row>
    <row r="95" ht="15.75" customHeight="1">
      <c r="A95" s="7" t="s">
        <v>71</v>
      </c>
      <c r="B95" s="16">
        <f>IFERROR(SUMIFS(Data!$L$2:$L$1294,Data!$F$2:$F$1294,"United Kingdom",Data!$D$2:$D$1294,"2025-06",Data!$I$2:$I$1294,"Channel 1")/SUMIFS(Data!$J$2:$J$1294,Data!$F$2:$F$1294,"United Kingdom",Data!$D$2:$D$1294,"2025-06",Data!$I$2:$I$1294,"Channel 1"),"")</f>
        <v>0.2911408705</v>
      </c>
      <c r="C95" s="16">
        <f>IFERROR(SUMIFS(Data!$L$2:$L$1294,Data!$F$2:$F$1294,"United Kingdom",Data!$D$2:$D$1294,"2025-06",Data!$I$2:$I$1294,"Channel 2")/SUMIFS(Data!$J$2:$J$1294,Data!$F$2:$F$1294,"United Kingdom",Data!$D$2:$D$1294,"2025-06",Data!$I$2:$I$1294,"Channel 2"),"")</f>
        <v>0.2113194323</v>
      </c>
      <c r="D95" s="16">
        <f>IFERROR(SUMIFS(Data!$L$2:$L$1294,Data!$F$2:$F$1294,"United Kingdom",Data!$D$2:$D$1294,"2025-06",Data!$I$2:$I$1294,"Channel 3")/SUMIFS(Data!$J$2:$J$1294,Data!$F$2:$F$1294,"United Kingdom",Data!$D$2:$D$1294,"2025-06",Data!$I$2:$I$1294,"Channel 3"),"")</f>
        <v>0.3786688714</v>
      </c>
      <c r="E95" s="8">
        <f>SUMIFS(Data!$J$2:$J$1294,Data!$F$2:$F$1294,"United Kingdom",Data!$D$2:$D$1294,"2025-06",Data!$I$2:$I$1294,"Channel 1")</f>
        <v>100958</v>
      </c>
      <c r="F95" s="8">
        <f>SUMIFS(Data!$J$2:$J$1294,Data!$F$2:$F$1294,"United Kingdom",Data!$D$2:$D$1294,"2025-06",Data!$I$2:$I$1294,"Channel 2")</f>
        <v>68484</v>
      </c>
      <c r="G95" s="8">
        <f>SUMIFS(Data!$J$2:$J$1294,Data!$F$2:$F$1294,"United Kingdom",Data!$D$2:$D$1294,"2025-06",Data!$I$2:$I$1294,"Channel 3")</f>
        <v>33866</v>
      </c>
    </row>
    <row r="96" ht="15.75" customHeight="1">
      <c r="A96" s="4" t="s">
        <v>69</v>
      </c>
      <c r="B96" s="13">
        <f>IFERROR(SUMIFS(Data!$L$2:$L$1294,Data!$F$2:$F$1294,"United Kingdom",Data!$D$2:$D$1294,"2025-07",Data!$I$2:$I$1294,"Channel 1")/SUMIFS(Data!$J$2:$J$1294,Data!$F$2:$F$1294,"United Kingdom",Data!$D$2:$D$1294,"2025-07",Data!$I$2:$I$1294,"Channel 1"),"")</f>
        <v>0.2926072006</v>
      </c>
      <c r="C96" s="13">
        <f>IFERROR(SUMIFS(Data!$L$2:$L$1294,Data!$F$2:$F$1294,"United Kingdom",Data!$D$2:$D$1294,"2025-07",Data!$I$2:$I$1294,"Channel 2")/SUMIFS(Data!$J$2:$J$1294,Data!$F$2:$F$1294,"United Kingdom",Data!$D$2:$D$1294,"2025-07",Data!$I$2:$I$1294,"Channel 2"),"")</f>
        <v>0.2041588431</v>
      </c>
      <c r="D96" s="13">
        <f>IFERROR(SUMIFS(Data!$L$2:$L$1294,Data!$F$2:$F$1294,"United Kingdom",Data!$D$2:$D$1294,"2025-07",Data!$I$2:$I$1294,"Channel 3")/SUMIFS(Data!$J$2:$J$1294,Data!$F$2:$F$1294,"United Kingdom",Data!$D$2:$D$1294,"2025-07",Data!$I$2:$I$1294,"Channel 3"),"")</f>
        <v>0.4277234439</v>
      </c>
      <c r="E96" s="5">
        <f>SUMIFS(Data!$J$2:$J$1294,Data!$F$2:$F$1294,"United Kingdom",Data!$D$2:$D$1294,"2025-07",Data!$I$2:$I$1294,"Channel 1")</f>
        <v>98880</v>
      </c>
      <c r="F96" s="5">
        <f>SUMIFS(Data!$J$2:$J$1294,Data!$F$2:$F$1294,"United Kingdom",Data!$D$2:$D$1294,"2025-07",Data!$I$2:$I$1294,"Channel 2")</f>
        <v>71366</v>
      </c>
      <c r="G96" s="5">
        <f>SUMIFS(Data!$J$2:$J$1294,Data!$F$2:$F$1294,"United Kingdom",Data!$D$2:$D$1294,"2025-07",Data!$I$2:$I$1294,"Channel 3")</f>
        <v>35378</v>
      </c>
    </row>
    <row r="97" ht="15.75" customHeight="1">
      <c r="A97" s="7" t="s">
        <v>62</v>
      </c>
      <c r="B97" s="16">
        <f>IFERROR(SUMIFS(Data!$L$2:$L$1294,Data!$F$2:$F$1294,"United Kingdom",Data!$D$2:$D$1294,"2025-08",Data!$I$2:$I$1294,"Channel 1")/SUMIFS(Data!$J$2:$J$1294,Data!$F$2:$F$1294,"United Kingdom",Data!$D$2:$D$1294,"2025-08",Data!$I$2:$I$1294,"Channel 1"),"")</f>
        <v>0.2766560227</v>
      </c>
      <c r="C97" s="16">
        <f>IFERROR(SUMIFS(Data!$L$2:$L$1294,Data!$F$2:$F$1294,"United Kingdom",Data!$D$2:$D$1294,"2025-08",Data!$I$2:$I$1294,"Channel 2")/SUMIFS(Data!$J$2:$J$1294,Data!$F$2:$F$1294,"United Kingdom",Data!$D$2:$D$1294,"2025-08",Data!$I$2:$I$1294,"Channel 2"),"")</f>
        <v>0.1464362272</v>
      </c>
      <c r="D97" s="16">
        <f>IFERROR(SUMIFS(Data!$L$2:$L$1294,Data!$F$2:$F$1294,"United Kingdom",Data!$D$2:$D$1294,"2025-08",Data!$I$2:$I$1294,"Channel 3")/SUMIFS(Data!$J$2:$J$1294,Data!$F$2:$F$1294,"United Kingdom",Data!$D$2:$D$1294,"2025-08",Data!$I$2:$I$1294,"Channel 3"),"")</f>
        <v>0.332225757</v>
      </c>
      <c r="E97" s="8">
        <f>SUMIFS(Data!$J$2:$J$1294,Data!$F$2:$F$1294,"United Kingdom",Data!$D$2:$D$1294,"2025-08",Data!$I$2:$I$1294,"Channel 1")</f>
        <v>83302</v>
      </c>
      <c r="F97" s="8">
        <f>SUMIFS(Data!$J$2:$J$1294,Data!$F$2:$F$1294,"United Kingdom",Data!$D$2:$D$1294,"2025-08",Data!$I$2:$I$1294,"Channel 2")</f>
        <v>82104</v>
      </c>
      <c r="G97" s="8">
        <f>SUMIFS(Data!$J$2:$J$1294,Data!$F$2:$F$1294,"United Kingdom",Data!$D$2:$D$1294,"2025-08",Data!$I$2:$I$1294,"Channel 3")</f>
        <v>42435</v>
      </c>
    </row>
    <row r="98" ht="15.75" customHeight="1">
      <c r="A98" s="4" t="s">
        <v>78</v>
      </c>
      <c r="B98" s="13">
        <f>IFERROR(SUMIFS(Data!$L$2:$L$1294,Data!$F$2:$F$1294,"United Kingdom",Data!$D$2:$D$1294,"2025-09",Data!$I$2:$I$1294,"Channel 1")/SUMIFS(Data!$J$2:$J$1294,Data!$F$2:$F$1294,"United Kingdom",Data!$D$2:$D$1294,"2025-09",Data!$I$2:$I$1294,"Channel 1"),"")</f>
        <v>0.2812641183</v>
      </c>
      <c r="C98" s="13">
        <f>IFERROR(SUMIFS(Data!$L$2:$L$1294,Data!$F$2:$F$1294,"United Kingdom",Data!$D$2:$D$1294,"2025-09",Data!$I$2:$I$1294,"Channel 2")/SUMIFS(Data!$J$2:$J$1294,Data!$F$2:$F$1294,"United Kingdom",Data!$D$2:$D$1294,"2025-09",Data!$I$2:$I$1294,"Channel 2"),"")</f>
        <v>0.107611734</v>
      </c>
      <c r="D98" s="13">
        <f>IFERROR(SUMIFS(Data!$L$2:$L$1294,Data!$F$2:$F$1294,"United Kingdom",Data!$D$2:$D$1294,"2025-09",Data!$I$2:$I$1294,"Channel 3")/SUMIFS(Data!$J$2:$J$1294,Data!$F$2:$F$1294,"United Kingdom",Data!$D$2:$D$1294,"2025-09",Data!$I$2:$I$1294,"Channel 3"),"")</f>
        <v>0.3279919375</v>
      </c>
      <c r="E98" s="5">
        <f>SUMIFS(Data!$J$2:$J$1294,Data!$F$2:$F$1294,"United Kingdom",Data!$D$2:$D$1294,"2025-09",Data!$I$2:$I$1294,"Channel 1")</f>
        <v>90751</v>
      </c>
      <c r="F98" s="5">
        <f>SUMIFS(Data!$J$2:$J$1294,Data!$F$2:$F$1294,"United Kingdom",Data!$D$2:$D$1294,"2025-09",Data!$I$2:$I$1294,"Channel 2")</f>
        <v>99097</v>
      </c>
      <c r="G98" s="5">
        <f>SUMIFS(Data!$J$2:$J$1294,Data!$F$2:$F$1294,"United Kingdom",Data!$D$2:$D$1294,"2025-09",Data!$I$2:$I$1294,"Channel 3")</f>
        <v>39690</v>
      </c>
    </row>
    <row r="99" ht="15.75" customHeight="1">
      <c r="A99" s="7" t="s">
        <v>77</v>
      </c>
      <c r="B99" s="16">
        <f>IFERROR(SUMIFS(Data!$L$2:$L$1294,Data!$F$2:$F$1294,"United Kingdom",Data!$D$2:$D$1294,"2025-10",Data!$I$2:$I$1294,"Channel 1")/SUMIFS(Data!$J$2:$J$1294,Data!$F$2:$F$1294,"United Kingdom",Data!$D$2:$D$1294,"2025-10",Data!$I$2:$I$1294,"Channel 1"),"")</f>
        <v>0.283620335</v>
      </c>
      <c r="C99" s="16">
        <f>IFERROR(SUMIFS(Data!$L$2:$L$1294,Data!$F$2:$F$1294,"United Kingdom",Data!$D$2:$D$1294,"2025-10",Data!$I$2:$I$1294,"Channel 2")/SUMIFS(Data!$J$2:$J$1294,Data!$F$2:$F$1294,"United Kingdom",Data!$D$2:$D$1294,"2025-10",Data!$I$2:$I$1294,"Channel 2"),"")</f>
        <v>0.1009459749</v>
      </c>
      <c r="D99" s="16">
        <f>IFERROR(SUMIFS(Data!$L$2:$L$1294,Data!$F$2:$F$1294,"United Kingdom",Data!$D$2:$D$1294,"2025-10",Data!$I$2:$I$1294,"Channel 3")/SUMIFS(Data!$J$2:$J$1294,Data!$F$2:$F$1294,"United Kingdom",Data!$D$2:$D$1294,"2025-10",Data!$I$2:$I$1294,"Channel 3"),"")</f>
        <v>0.2953281991</v>
      </c>
      <c r="E99" s="8">
        <f>SUMIFS(Data!$J$2:$J$1294,Data!$F$2:$F$1294,"United Kingdom",Data!$D$2:$D$1294,"2025-10",Data!$I$2:$I$1294,"Channel 1")</f>
        <v>85075</v>
      </c>
      <c r="F99" s="8">
        <f>SUMIFS(Data!$J$2:$J$1294,Data!$F$2:$F$1294,"United Kingdom",Data!$D$2:$D$1294,"2025-10",Data!$I$2:$I$1294,"Channel 2")</f>
        <v>79389</v>
      </c>
      <c r="G99" s="8">
        <f>SUMIFS(Data!$J$2:$J$1294,Data!$F$2:$F$1294,"United Kingdom",Data!$D$2:$D$1294,"2025-10",Data!$I$2:$I$1294,"Channel 3")</f>
        <v>39214</v>
      </c>
    </row>
    <row r="100" ht="15.75" customHeight="1">
      <c r="A100" s="4" t="s">
        <v>76</v>
      </c>
      <c r="B100" s="13">
        <f>IFERROR(SUMIFS(Data!$L$2:$L$1294,Data!$F$2:$F$1294,"United Kingdom",Data!$D$2:$D$1294,"2025-11",Data!$I$2:$I$1294,"Channel 1")/SUMIFS(Data!$J$2:$J$1294,Data!$F$2:$F$1294,"United Kingdom",Data!$D$2:$D$1294,"2025-11",Data!$I$2:$I$1294,"Channel 1"),"")</f>
        <v>0.2738441925</v>
      </c>
      <c r="C100" s="13">
        <f>IFERROR(SUMIFS(Data!$L$2:$L$1294,Data!$F$2:$F$1294,"United Kingdom",Data!$D$2:$D$1294,"2025-11",Data!$I$2:$I$1294,"Channel 2")/SUMIFS(Data!$J$2:$J$1294,Data!$F$2:$F$1294,"United Kingdom",Data!$D$2:$D$1294,"2025-11",Data!$I$2:$I$1294,"Channel 2"),"")</f>
        <v>0.1896088489</v>
      </c>
      <c r="D100" s="13">
        <f>IFERROR(SUMIFS(Data!$L$2:$L$1294,Data!$F$2:$F$1294,"United Kingdom",Data!$D$2:$D$1294,"2025-11",Data!$I$2:$I$1294,"Channel 3")/SUMIFS(Data!$J$2:$J$1294,Data!$F$2:$F$1294,"United Kingdom",Data!$D$2:$D$1294,"2025-11",Data!$I$2:$I$1294,"Channel 3"),"")</f>
        <v>0.3389131748</v>
      </c>
      <c r="E100" s="5">
        <f>SUMIFS(Data!$J$2:$J$1294,Data!$F$2:$F$1294,"United Kingdom",Data!$D$2:$D$1294,"2025-11",Data!$I$2:$I$1294,"Channel 1")</f>
        <v>80009</v>
      </c>
      <c r="F100" s="5">
        <f>SUMIFS(Data!$J$2:$J$1294,Data!$F$2:$F$1294,"United Kingdom",Data!$D$2:$D$1294,"2025-11",Data!$I$2:$I$1294,"Channel 2")</f>
        <v>28659</v>
      </c>
      <c r="G100" s="5">
        <f>SUMIFS(Data!$J$2:$J$1294,Data!$F$2:$F$1294,"United Kingdom",Data!$D$2:$D$1294,"2025-11",Data!$I$2:$I$1294,"Channel 3")</f>
        <v>28137</v>
      </c>
    </row>
    <row r="101" ht="15.75" customHeight="1">
      <c r="A101" s="7" t="s">
        <v>64</v>
      </c>
      <c r="B101" s="16">
        <f>IFERROR(SUMIFS(Data!$L$2:$L$1294,Data!$F$2:$F$1294,"United Kingdom",Data!$D$2:$D$1294,"2025-12",Data!$I$2:$I$1294,"Channel 1")/SUMIFS(Data!$J$2:$J$1294,Data!$F$2:$F$1294,"United Kingdom",Data!$D$2:$D$1294,"2025-12",Data!$I$2:$I$1294,"Channel 1"),"")</f>
        <v>0.2629795238</v>
      </c>
      <c r="C101" s="16">
        <f>IFERROR(SUMIFS(Data!$L$2:$L$1294,Data!$F$2:$F$1294,"United Kingdom",Data!$D$2:$D$1294,"2025-12",Data!$I$2:$I$1294,"Channel 2")/SUMIFS(Data!$J$2:$J$1294,Data!$F$2:$F$1294,"United Kingdom",Data!$D$2:$D$1294,"2025-12",Data!$I$2:$I$1294,"Channel 2"),"")</f>
        <v>0.1813908158</v>
      </c>
      <c r="D101" s="16">
        <f>IFERROR(SUMIFS(Data!$L$2:$L$1294,Data!$F$2:$F$1294,"United Kingdom",Data!$D$2:$D$1294,"2025-12",Data!$I$2:$I$1294,"Channel 3")/SUMIFS(Data!$J$2:$J$1294,Data!$F$2:$F$1294,"United Kingdom",Data!$D$2:$D$1294,"2025-12",Data!$I$2:$I$1294,"Channel 3"),"")</f>
        <v>0.3633502189</v>
      </c>
      <c r="E101" s="8">
        <f>SUMIFS(Data!$J$2:$J$1294,Data!$F$2:$F$1294,"United Kingdom",Data!$D$2:$D$1294,"2025-12",Data!$I$2:$I$1294,"Channel 1")</f>
        <v>56358</v>
      </c>
      <c r="F101" s="8">
        <f>SUMIFS(Data!$J$2:$J$1294,Data!$F$2:$F$1294,"United Kingdom",Data!$D$2:$D$1294,"2025-12",Data!$I$2:$I$1294,"Channel 2")</f>
        <v>17443</v>
      </c>
      <c r="G101" s="8">
        <f>SUMIFS(Data!$J$2:$J$1294,Data!$F$2:$F$1294,"United Kingdom",Data!$D$2:$D$1294,"2025-12",Data!$I$2:$I$1294,"Channel 3")</f>
        <v>20333</v>
      </c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2026-02-15T16:34:39Z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